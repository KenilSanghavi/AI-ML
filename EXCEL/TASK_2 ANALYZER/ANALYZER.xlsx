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l\Documents\AI-ML\EXCEL\"/>
    </mc:Choice>
  </mc:AlternateContent>
  <xr:revisionPtr revIDLastSave="0" documentId="13_ncr:1_{C3680190-8041-4C0D-8B36-0837969B5166}" xr6:coauthVersionLast="47" xr6:coauthVersionMax="47" xr10:uidLastSave="{00000000-0000-0000-0000-000000000000}"/>
  <bookViews>
    <workbookView xWindow="-108" yWindow="-108" windowWidth="23256" windowHeight="12456" xr2:uid="{0A31398A-B37C-4E89-BAF9-97467B2CFE45}"/>
  </bookViews>
  <sheets>
    <sheet name="desc stats" sheetId="5" r:id="rId1"/>
    <sheet name="regression" sheetId="4" r:id="rId2"/>
    <sheet name="month_wise sales" sheetId="7" r:id="rId3"/>
    <sheet name="region_wise sales" sheetId="8" r:id="rId4"/>
    <sheet name="dataset" sheetId="1" r:id="rId5"/>
    <sheet name="person_wise sales" sheetId="3" r:id="rId6"/>
  </sheets>
  <definedNames>
    <definedName name="_xlnm._FilterDatabase" localSheetId="4" hidden="1">dataset!$M$7:$M$10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9" i="1" l="1"/>
  <c r="P8" i="1"/>
  <c r="M9" i="1"/>
  <c r="M8" i="1"/>
  <c r="K2" i="1"/>
  <c r="M10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A20" i="5"/>
  <c r="A18" i="5"/>
  <c r="C4" i="7"/>
  <c r="C5" i="7"/>
  <c r="C6" i="7"/>
  <c r="C7" i="7"/>
  <c r="C8" i="7"/>
  <c r="C9" i="7"/>
  <c r="C10" i="7"/>
  <c r="C11" i="7"/>
  <c r="C12" i="7"/>
  <c r="C13" i="7"/>
  <c r="C3" i="7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N4" i="1" l="1"/>
  <c r="Q2" i="1"/>
</calcChain>
</file>

<file path=xl/sharedStrings.xml><?xml version="1.0" encoding="utf-8"?>
<sst xmlns="http://schemas.openxmlformats.org/spreadsheetml/2006/main" count="920" uniqueCount="141">
  <si>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</si>
  <si>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</si>
  <si>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</si>
  <si>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</si>
  <si>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</si>
  <si>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</si>
  <si>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</si>
  <si>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</si>
  <si>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</si>
  <si>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</si>
  <si>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</si>
  <si>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</si>
  <si>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</si>
  <si>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</si>
  <si>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</si>
  <si>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</si>
  <si>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</si>
  <si>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</si>
  <si>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</si>
  <si>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</si>
  <si>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</si>
  <si>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</si>
  <si>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</si>
  <si>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</si>
  <si>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</si>
  <si>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</si>
  <si>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</si>
  <si>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</si>
  <si>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</si>
  <si>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</si>
  <si>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</si>
  <si>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</si>
  <si>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</si>
  <si>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</si>
  <si>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</si>
  <si>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</si>
  <si>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</si>
  <si>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</si>
  <si>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</si>
  <si>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</si>
  <si>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</si>
  <si>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</si>
  <si>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</si>
  <si>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</si>
  <si>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</si>
  <si>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</si>
  <si>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</si>
  <si>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</si>
  <si>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</si>
  <si>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</si>
  <si>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</si>
  <si>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</si>
  <si>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</si>
  <si>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</si>
  <si>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</si>
  <si>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</si>
  <si>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</si>
  <si>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</si>
  <si>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</si>
  <si>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</si>
  <si>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</si>
  <si>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</si>
  <si>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</si>
  <si>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</si>
  <si>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</si>
  <si>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</si>
  <si>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</si>
  <si>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</si>
  <si>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</si>
  <si>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</si>
  <si>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</si>
  <si>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</si>
  <si>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</si>
  <si>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</si>
  <si>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</si>
  <si>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</si>
  <si>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</si>
  <si>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</si>
  <si>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Sum of Sales</t>
  </si>
  <si>
    <t>discount</t>
  </si>
  <si>
    <t>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</si>
  <si>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</si>
  <si>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</si>
  <si>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</si>
  <si>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</si>
  <si>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</si>
  <si>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</si>
  <si>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</si>
  <si>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</si>
  <si>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</si>
  <si>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</si>
  <si>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</si>
  <si>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</si>
  <si>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</si>
  <si>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</si>
  <si>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</si>
  <si>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</si>
  <si>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</si>
  <si>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</si>
  <si>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</si>
  <si>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</si>
  <si>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</si>
  <si>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</si>
  <si>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</si>
  <si>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</si>
  <si>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</si>
  <si>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</si>
  <si>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</si>
  <si>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</si>
  <si>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</si>
  <si>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</si>
  <si>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</si>
  <si>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</si>
  <si>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</si>
  <si>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</si>
  <si>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</si>
  <si>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</si>
  <si>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</si>
  <si>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</si>
  <si>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</si>
  <si>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</si>
  <si>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</si>
  <si>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</si>
  <si>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</si>
  <si>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</si>
  <si>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</si>
  <si>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</si>
  <si>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</si>
  <si>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</si>
  <si>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</si>
  <si>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</si>
  <si>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</si>
  <si>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</t>
  </si>
  <si>
    <t>timestamp</t>
  </si>
  <si>
    <t>date</t>
  </si>
  <si>
    <t>&lt;-- descriptive stats</t>
  </si>
  <si>
    <t>profit1</t>
  </si>
  <si>
    <t>new_discount</t>
  </si>
  <si>
    <t>id</t>
  </si>
  <si>
    <t>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</si>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</sst>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14" fontId="2" fillId="0" borderId="8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Continuous"/>
    </xf>
    <xf numFmtId="0" fontId="2" fillId="0" borderId="5" xfId="0" applyFont="1" applyBorder="1" applyAlignment="1">
      <alignment horizontal="right" wrapText="1"/>
    </xf>
    <xf numFmtId="22" fontId="0" fillId="0" borderId="0" xfId="0" applyNumberFormat="1"/>
    <xf numFmtId="9" fontId="0" fillId="0" borderId="0" xfId="0" applyNumberFormat="1"/>
    <xf numFmtId="2" fontId="2" fillId="0" borderId="0" xfId="0" applyNumberFormat="1" applyFont="1" applyAlignment="1">
      <alignment horizontal="right"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[Book10.xlsx]month_wise sales!PivotTable1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'month_wise sales'!$B$1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'month_wise sales'!$A$2:$A$14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'month_wise sales'!$B$2:$B$14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9-4751-9E16-D33EE7141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845167"/>
        <c:axId val="204248655"/>
      </c:lineChart>
      <c:catAx>
        <c:axId val="32384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48655"/>
        <c:crosses val="autoZero"/>
        <c:auto val="1"/>
        <c:lblAlgn val="ctr"/>
        <c:lblOffset val="100"/>
        <c:noMultiLvlLbl val="0"/>
      </c:catAx>
      <c:valAx>
        <c:axId val="2042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4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[Book10.xlsx]month_wise sales!PivotTable1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'month_wise sales'!$B$1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5-41D4-B75C-27E686C136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5-41D4-B75C-27E686C136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B5-41D4-B75C-27E686C136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B5-41D4-B75C-27E686C136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B5-41D4-B75C-27E686C136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B5-41D4-B75C-27E686C136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B5-41D4-B75C-27E686C136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B5-41D4-B75C-27E686C136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B5-41D4-B75C-27E686C136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B5-41D4-B75C-27E686C136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B5-41D4-B75C-27E686C136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B5-41D4-B75C-27E686C1366D}"/>
              </c:ext>
            </c:extLst>
          </c:dPt>
          <c:cat>
            <c:strRef>
              <c:f>'month_wise sales'!$A$2:$A$14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'month_wise sales'!$B$2:$B$14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0-4EBE-980B-4F6A1F018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[Book10.xlsx]region_wise sales!PivotTable3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'region_wise sales'!$B$3:$B$4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'region_wise sales'!$A$5:$A$8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'region_wise sales'!$B$5:$B$8</c:f>
              <c:numCache>
                <c:formatCode>General</c:formatCode>
                <c:ptCount val="3"/>
                <c:pt idx="0">
                  <c:v>11389.09</c:v>
                </c:pt>
                <c:pt idx="1">
                  <c:v>9588.0400000000009</c:v>
                </c:pt>
                <c:pt idx="2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8-44E7-9131-020B98CC7070}"/>
            </c:ext>
          </c:extLst>
        </c:ser>
        <c:ser>
          <c:idx val="1"/>
          <c:order val="1"/>
          <c:tx>
            <c:strRef>
              <c:f>'region_wise sales'!$C$3:$C$4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'region_wise sales'!$A$5:$A$8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'region_wise sales'!$C$5:$C$8</c:f>
              <c:numCache>
                <c:formatCode>General</c:formatCode>
                <c:ptCount val="3"/>
                <c:pt idx="0">
                  <c:v>2401.4499999999998</c:v>
                </c:pt>
                <c:pt idx="1">
                  <c:v>8393.6299999999992</c:v>
                </c:pt>
                <c:pt idx="2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8-44E7-9131-020B98CC7070}"/>
            </c:ext>
          </c:extLst>
        </c:ser>
        <c:ser>
          <c:idx val="2"/>
          <c:order val="2"/>
          <c:tx>
            <c:strRef>
              <c:f>'region_wise sales'!$D$3:$D$4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'region_wise sales'!$A$5:$A$8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'region_wise sales'!$D$5:$D$8</c:f>
              <c:numCache>
                <c:formatCode>General</c:formatCode>
                <c:ptCount val="3"/>
                <c:pt idx="0">
                  <c:v>2869.54</c:v>
                </c:pt>
                <c:pt idx="1">
                  <c:v>11989.07</c:v>
                </c:pt>
                <c:pt idx="2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8-44E7-9131-020B98CC7070}"/>
            </c:ext>
          </c:extLst>
        </c:ser>
        <c:ser>
          <c:idx val="3"/>
          <c:order val="3"/>
          <c:tx>
            <c:strRef>
              <c:f>'region_wise sales'!$E$3:$E$4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'region_wise sales'!$A$5:$A$8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'region_wise sales'!$E$5:$E$8</c:f>
              <c:numCache>
                <c:formatCode>General</c:formatCode>
                <c:ptCount val="3"/>
                <c:pt idx="0">
                  <c:v>7592.34</c:v>
                </c:pt>
                <c:pt idx="1">
                  <c:v>7982.73</c:v>
                </c:pt>
                <c:pt idx="2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A8-44E7-9131-020B98CC7070}"/>
            </c:ext>
          </c:extLst>
        </c:ser>
        <c:ser>
          <c:idx val="4"/>
          <c:order val="4"/>
          <c:tx>
            <c:strRef>
              <c:f>'region_wise sales'!$F$3:$F$4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'region_wise sales'!$A$5:$A$8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'region_wise sales'!$F$5:$F$8</c:f>
              <c:numCache>
                <c:formatCode>General</c:formatCode>
                <c:ptCount val="3"/>
                <c:pt idx="0">
                  <c:v>8189.22</c:v>
                </c:pt>
                <c:pt idx="1">
                  <c:v>2295.3199999999997</c:v>
                </c:pt>
                <c:pt idx="2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A8-44E7-9131-020B98CC7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638255"/>
        <c:axId val="204344175"/>
      </c:barChart>
      <c:catAx>
        <c:axId val="31763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44175"/>
        <c:crosses val="autoZero"/>
        <c:auto val="1"/>
        <c:lblAlgn val="ctr"/>
        <c:lblOffset val="100"/>
        <c:noMultiLvlLbl val="0"/>
      </c:catAx>
      <c:valAx>
        <c:axId val="20434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3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0</xdr:row>
      <xdr:rowOff>0</xdr:rowOff>
    </xdr:from>
    <xdr:to>
      <xdr:col>11</xdr:col>
      <xdr:colOff>289560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6895F-7E27-ABC8-5BAF-C9FAAC5C2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0</xdr:row>
      <xdr:rowOff>0</xdr:rowOff>
    </xdr:from>
    <xdr:to>
      <xdr:col>18</xdr:col>
      <xdr:colOff>571500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BD5A8F-19ED-BBC7-F535-5778761E7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</xdr:row>
      <xdr:rowOff>179070</xdr:rowOff>
    </xdr:from>
    <xdr:to>
      <xdr:col>14</xdr:col>
      <xdr:colOff>358140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C6C17-CD7D-E0F4-78B9-730D34868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il" refreshedDate="46231.445997800925" createdVersion="8" refreshedVersion="8" minRefreshableVersion="3" recordCount="200" xr:uid="{3B027396-AEA7-4B46-B103-572D2BD65D68}">
  <cacheSource type="worksheet">
    <worksheetSource name="Table1"/>
  </cacheSource>
  <cacheFields count="12">
    <cacheField name="Customer_ID" numFmtId="0">
      <sharedItems/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1"/>
    </cacheField>
    <cacheField name="Profit" numFmtId="0">
      <sharedItems containsSemiMixedTypes="0" containsString="0" containsNumber="1" minValue="64.63" maxValue="769.46"/>
    </cacheField>
    <cacheField name="Months (Order_Date)" numFmtId="0" databaseField="0">
      <fieldGroup base="7">
        <rangePr groupBy="months" startDate="2024-04-10T00:00:00" endDate="2025-04-08T00:00:00"/>
        <groupItems count="14">
          <s v="&lt;4/10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8/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4/10/2024"/>
          <s v="Qtr1"/>
          <s v="Qtr2"/>
          <s v="Qtr3"/>
          <s v="Qtr4"/>
          <s v="&gt;4/8/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4/10/2024"/>
          <s v="2024"/>
          <s v="2025"/>
          <s v="&gt;4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x v="0"/>
    <x v="0"/>
    <x v="0"/>
    <n v="1036.0899999999999"/>
    <n v="4"/>
    <n v="0.2"/>
    <x v="0"/>
    <n v="331.55"/>
  </r>
  <r>
    <s v="CUST012"/>
    <x v="1"/>
    <x v="0"/>
    <x v="1"/>
    <n v="1101.28"/>
    <n v="3"/>
    <n v="0.2"/>
    <x v="1"/>
    <n v="440.51"/>
  </r>
  <r>
    <s v="CUST017"/>
    <x v="2"/>
    <x v="1"/>
    <x v="0"/>
    <n v="713.34"/>
    <n v="17"/>
    <n v="0"/>
    <x v="2"/>
    <n v="285.33999999999997"/>
  </r>
  <r>
    <s v="CUST005"/>
    <x v="1"/>
    <x v="2"/>
    <x v="2"/>
    <n v="760.93"/>
    <n v="4"/>
    <n v="0.15"/>
    <x v="2"/>
    <n v="161.69999999999999"/>
  </r>
  <r>
    <s v="CUST030"/>
    <x v="3"/>
    <x v="3"/>
    <x v="0"/>
    <n v="847"/>
    <n v="12"/>
    <n v="0.2"/>
    <x v="3"/>
    <n v="271.04000000000002"/>
  </r>
  <r>
    <s v="CUST007"/>
    <x v="4"/>
    <x v="3"/>
    <x v="3"/>
    <n v="965.64"/>
    <n v="8"/>
    <n v="0.1"/>
    <x v="4"/>
    <n v="304.18"/>
  </r>
  <r>
    <s v="CUST001"/>
    <x v="5"/>
    <x v="0"/>
    <x v="2"/>
    <n v="1317.53"/>
    <n v="12"/>
    <n v="0.05"/>
    <x v="4"/>
    <n v="312.91000000000003"/>
  </r>
  <r>
    <s v="CUST026"/>
    <x v="6"/>
    <x v="1"/>
    <x v="3"/>
    <n v="1074.47"/>
    <n v="6"/>
    <n v="0.2"/>
    <x v="5"/>
    <n v="300.85000000000002"/>
  </r>
  <r>
    <s v="CUST009"/>
    <x v="7"/>
    <x v="4"/>
    <x v="0"/>
    <n v="501.54"/>
    <n v="11"/>
    <n v="0.05"/>
    <x v="5"/>
    <n v="190.59"/>
  </r>
  <r>
    <s v="CUST010"/>
    <x v="8"/>
    <x v="4"/>
    <x v="1"/>
    <n v="737.31"/>
    <n v="2"/>
    <n v="0.05"/>
    <x v="5"/>
    <n v="350.22"/>
  </r>
  <r>
    <s v="CUST014"/>
    <x v="9"/>
    <x v="0"/>
    <x v="4"/>
    <n v="1572.82"/>
    <n v="6"/>
    <n v="0.05"/>
    <x v="6"/>
    <n v="672.38"/>
  </r>
  <r>
    <s v="CUST014"/>
    <x v="8"/>
    <x v="4"/>
    <x v="0"/>
    <n v="1343.13"/>
    <n v="14"/>
    <n v="0.15"/>
    <x v="7"/>
    <n v="456.66"/>
  </r>
  <r>
    <s v="CUST007"/>
    <x v="4"/>
    <x v="4"/>
    <x v="0"/>
    <n v="1191.58"/>
    <n v="14"/>
    <n v="0.05"/>
    <x v="8"/>
    <n v="452.8"/>
  </r>
  <r>
    <s v="CUST023"/>
    <x v="1"/>
    <x v="0"/>
    <x v="3"/>
    <n v="822.28"/>
    <n v="7"/>
    <n v="0.05"/>
    <x v="8"/>
    <n v="273.41000000000003"/>
  </r>
  <r>
    <s v="CUST029"/>
    <x v="10"/>
    <x v="3"/>
    <x v="3"/>
    <n v="521.66999999999996"/>
    <n v="15"/>
    <n v="0.15"/>
    <x v="9"/>
    <n v="155.19999999999999"/>
  </r>
  <r>
    <s v="CUST005"/>
    <x v="11"/>
    <x v="2"/>
    <x v="2"/>
    <n v="1502.93"/>
    <n v="14"/>
    <n v="0.2"/>
    <x v="10"/>
    <n v="300.58999999999997"/>
  </r>
  <r>
    <s v="CUST008"/>
    <x v="1"/>
    <x v="2"/>
    <x v="0"/>
    <n v="877.58"/>
    <n v="10"/>
    <n v="0.15"/>
    <x v="11"/>
    <n v="298.38"/>
  </r>
  <r>
    <s v="CUST001"/>
    <x v="12"/>
    <x v="0"/>
    <x v="0"/>
    <n v="636.70000000000005"/>
    <n v="4"/>
    <n v="0.2"/>
    <x v="11"/>
    <n v="203.74"/>
  </r>
  <r>
    <s v="CUST006"/>
    <x v="13"/>
    <x v="0"/>
    <x v="0"/>
    <n v="1506.14"/>
    <n v="13"/>
    <n v="0.2"/>
    <x v="12"/>
    <n v="481.96"/>
  </r>
  <r>
    <s v="CUST026"/>
    <x v="6"/>
    <x v="4"/>
    <x v="2"/>
    <n v="645.02"/>
    <n v="4"/>
    <n v="0"/>
    <x v="13"/>
    <n v="161.26"/>
  </r>
  <r>
    <s v="CUST007"/>
    <x v="14"/>
    <x v="2"/>
    <x v="1"/>
    <n v="953.3"/>
    <n v="11"/>
    <n v="0"/>
    <x v="14"/>
    <n v="476.65"/>
  </r>
  <r>
    <s v="CUST022"/>
    <x v="1"/>
    <x v="3"/>
    <x v="2"/>
    <n v="388.56"/>
    <n v="14"/>
    <n v="0.15"/>
    <x v="15"/>
    <n v="82.57"/>
  </r>
  <r>
    <s v="CUST019"/>
    <x v="6"/>
    <x v="0"/>
    <x v="0"/>
    <n v="743.17"/>
    <n v="9"/>
    <n v="0"/>
    <x v="15"/>
    <n v="297.27"/>
  </r>
  <r>
    <s v="CUST023"/>
    <x v="6"/>
    <x v="4"/>
    <x v="2"/>
    <n v="706.37"/>
    <n v="6"/>
    <n v="0"/>
    <x v="15"/>
    <n v="176.59"/>
  </r>
  <r>
    <s v="CUST012"/>
    <x v="6"/>
    <x v="4"/>
    <x v="4"/>
    <n v="925.31"/>
    <n v="8"/>
    <n v="0.1"/>
    <x v="16"/>
    <n v="374.75"/>
  </r>
  <r>
    <s v="CUST010"/>
    <x v="15"/>
    <x v="2"/>
    <x v="2"/>
    <n v="1173.1199999999999"/>
    <n v="18"/>
    <n v="0"/>
    <x v="16"/>
    <n v="293.27999999999997"/>
  </r>
  <r>
    <s v="CUST030"/>
    <x v="16"/>
    <x v="3"/>
    <x v="3"/>
    <n v="675.54"/>
    <n v="17"/>
    <n v="0"/>
    <x v="17"/>
    <n v="236.44"/>
  </r>
  <r>
    <s v="CUST007"/>
    <x v="1"/>
    <x v="4"/>
    <x v="0"/>
    <n v="939.09"/>
    <n v="2"/>
    <n v="0.05"/>
    <x v="18"/>
    <n v="356.85"/>
  </r>
  <r>
    <s v="CUST028"/>
    <x v="17"/>
    <x v="1"/>
    <x v="4"/>
    <n v="983.34"/>
    <n v="19"/>
    <n v="0.1"/>
    <x v="19"/>
    <n v="398.25"/>
  </r>
  <r>
    <s v="CUST028"/>
    <x v="3"/>
    <x v="2"/>
    <x v="2"/>
    <n v="801.21"/>
    <n v="3"/>
    <n v="0.2"/>
    <x v="19"/>
    <n v="160.24"/>
  </r>
  <r>
    <s v="CUST025"/>
    <x v="18"/>
    <x v="3"/>
    <x v="2"/>
    <n v="1450.71"/>
    <n v="5"/>
    <n v="0.1"/>
    <x v="20"/>
    <n v="326.41000000000003"/>
  </r>
  <r>
    <s v="CUST022"/>
    <x v="19"/>
    <x v="4"/>
    <x v="0"/>
    <n v="1023.21"/>
    <n v="18"/>
    <n v="0.05"/>
    <x v="21"/>
    <n v="388.82"/>
  </r>
  <r>
    <s v="CUST001"/>
    <x v="13"/>
    <x v="0"/>
    <x v="3"/>
    <n v="853.72"/>
    <n v="5"/>
    <n v="0.15"/>
    <x v="21"/>
    <n v="253.98"/>
  </r>
  <r>
    <s v="CUST021"/>
    <x v="11"/>
    <x v="2"/>
    <x v="2"/>
    <n v="967.89"/>
    <n v="10"/>
    <n v="0.1"/>
    <x v="22"/>
    <n v="217.78"/>
  </r>
  <r>
    <s v="CUST015"/>
    <x v="17"/>
    <x v="3"/>
    <x v="4"/>
    <n v="1200.9000000000001"/>
    <n v="14"/>
    <n v="0.05"/>
    <x v="22"/>
    <n v="513.38"/>
  </r>
  <r>
    <s v="CUST012"/>
    <x v="4"/>
    <x v="0"/>
    <x v="0"/>
    <n v="472.38"/>
    <n v="12"/>
    <n v="0.2"/>
    <x v="22"/>
    <n v="151.16"/>
  </r>
  <r>
    <s v="CUST019"/>
    <x v="18"/>
    <x v="1"/>
    <x v="4"/>
    <n v="840.92"/>
    <n v="9"/>
    <n v="0.05"/>
    <x v="22"/>
    <n v="359.49"/>
  </r>
  <r>
    <s v="CUST028"/>
    <x v="14"/>
    <x v="4"/>
    <x v="3"/>
    <n v="1410.06"/>
    <n v="11"/>
    <n v="0.05"/>
    <x v="23"/>
    <n v="468.84"/>
  </r>
  <r>
    <s v="CUST008"/>
    <x v="20"/>
    <x v="4"/>
    <x v="3"/>
    <n v="773.09"/>
    <n v="13"/>
    <n v="0.15"/>
    <x v="23"/>
    <n v="229.99"/>
  </r>
  <r>
    <s v="CUST016"/>
    <x v="21"/>
    <x v="1"/>
    <x v="0"/>
    <n v="580.42999999999995"/>
    <n v="19"/>
    <n v="0.15"/>
    <x v="24"/>
    <n v="197.35"/>
  </r>
  <r>
    <s v="CUST005"/>
    <x v="10"/>
    <x v="2"/>
    <x v="0"/>
    <n v="1151.21"/>
    <n v="15"/>
    <n v="0.1"/>
    <x v="25"/>
    <n v="414.44"/>
  </r>
  <r>
    <s v="CUST028"/>
    <x v="3"/>
    <x v="4"/>
    <x v="4"/>
    <n v="1025.98"/>
    <n v="5"/>
    <n v="0.2"/>
    <x v="26"/>
    <n v="369.35"/>
  </r>
  <r>
    <s v="CUST023"/>
    <x v="19"/>
    <x v="1"/>
    <x v="4"/>
    <n v="556.41999999999996"/>
    <n v="11"/>
    <n v="0.15"/>
    <x v="26"/>
    <n v="212.83"/>
  </r>
  <r>
    <s v="CUST021"/>
    <x v="3"/>
    <x v="4"/>
    <x v="0"/>
    <n v="840.85"/>
    <n v="19"/>
    <n v="0.1"/>
    <x v="27"/>
    <n v="302.70999999999998"/>
  </r>
  <r>
    <s v="CUST026"/>
    <x v="21"/>
    <x v="3"/>
    <x v="3"/>
    <n v="1227.25"/>
    <n v="12"/>
    <n v="0.15"/>
    <x v="27"/>
    <n v="365.11"/>
  </r>
  <r>
    <s v="CUST017"/>
    <x v="22"/>
    <x v="4"/>
    <x v="2"/>
    <n v="856.7"/>
    <n v="2"/>
    <n v="0"/>
    <x v="28"/>
    <n v="214.18"/>
  </r>
  <r>
    <s v="CUST025"/>
    <x v="19"/>
    <x v="4"/>
    <x v="4"/>
    <n v="1225.42"/>
    <n v="8"/>
    <n v="0.15"/>
    <x v="28"/>
    <n v="468.72"/>
  </r>
  <r>
    <s v="CUST011"/>
    <x v="6"/>
    <x v="3"/>
    <x v="4"/>
    <n v="1001.57"/>
    <n v="12"/>
    <n v="0"/>
    <x v="29"/>
    <n v="450.71"/>
  </r>
  <r>
    <s v="CUST021"/>
    <x v="4"/>
    <x v="1"/>
    <x v="3"/>
    <n v="1186.8499999999999"/>
    <n v="19"/>
    <n v="0.2"/>
    <x v="30"/>
    <n v="332.32"/>
  </r>
  <r>
    <s v="CUST008"/>
    <x v="16"/>
    <x v="2"/>
    <x v="2"/>
    <n v="775.45"/>
    <n v="6"/>
    <n v="0.1"/>
    <x v="31"/>
    <n v="174.48"/>
  </r>
  <r>
    <s v="CUST007"/>
    <x v="7"/>
    <x v="2"/>
    <x v="2"/>
    <n v="1021.47"/>
    <n v="6"/>
    <n v="0.05"/>
    <x v="32"/>
    <n v="242.6"/>
  </r>
  <r>
    <s v="CUST015"/>
    <x v="3"/>
    <x v="2"/>
    <x v="1"/>
    <n v="1226.6199999999999"/>
    <n v="7"/>
    <n v="0.1"/>
    <x v="33"/>
    <n v="551.98"/>
  </r>
  <r>
    <s v="CUST030"/>
    <x v="23"/>
    <x v="2"/>
    <x v="3"/>
    <n v="1086.93"/>
    <n v="2"/>
    <n v="0"/>
    <x v="34"/>
    <n v="380.43"/>
  </r>
  <r>
    <s v="CUST002"/>
    <x v="14"/>
    <x v="0"/>
    <x v="0"/>
    <n v="942.9"/>
    <n v="18"/>
    <n v="0.1"/>
    <x v="35"/>
    <n v="339.44"/>
  </r>
  <r>
    <s v="CUST009"/>
    <x v="9"/>
    <x v="3"/>
    <x v="2"/>
    <n v="818.8"/>
    <n v="15"/>
    <n v="0.15"/>
    <x v="36"/>
    <n v="173.99"/>
  </r>
  <r>
    <s v="CUST005"/>
    <x v="1"/>
    <x v="2"/>
    <x v="3"/>
    <n v="919.04"/>
    <n v="10"/>
    <n v="0.2"/>
    <x v="36"/>
    <n v="257.33"/>
  </r>
  <r>
    <s v="CUST030"/>
    <x v="24"/>
    <x v="4"/>
    <x v="0"/>
    <n v="973.26"/>
    <n v="11"/>
    <n v="0"/>
    <x v="37"/>
    <n v="389.3"/>
  </r>
  <r>
    <s v="CUST029"/>
    <x v="23"/>
    <x v="3"/>
    <x v="2"/>
    <n v="741.61"/>
    <n v="1"/>
    <n v="0.2"/>
    <x v="38"/>
    <n v="148.32"/>
  </r>
  <r>
    <s v="CUST003"/>
    <x v="9"/>
    <x v="3"/>
    <x v="0"/>
    <n v="1248.82"/>
    <n v="2"/>
    <n v="0.1"/>
    <x v="39"/>
    <n v="449.58"/>
  </r>
  <r>
    <s v="CUST012"/>
    <x v="20"/>
    <x v="0"/>
    <x v="1"/>
    <n v="1360.36"/>
    <n v="17"/>
    <n v="0"/>
    <x v="39"/>
    <n v="680.18"/>
  </r>
  <r>
    <s v="CUST021"/>
    <x v="6"/>
    <x v="1"/>
    <x v="0"/>
    <n v="1383.3"/>
    <n v="8"/>
    <n v="0.1"/>
    <x v="40"/>
    <n v="497.99"/>
  </r>
  <r>
    <s v="CUST010"/>
    <x v="18"/>
    <x v="4"/>
    <x v="4"/>
    <n v="488.99"/>
    <n v="9"/>
    <n v="0"/>
    <x v="41"/>
    <n v="220.05"/>
  </r>
  <r>
    <s v="CUST026"/>
    <x v="6"/>
    <x v="1"/>
    <x v="3"/>
    <n v="933.71"/>
    <n v="17"/>
    <n v="0.1"/>
    <x v="42"/>
    <n v="294.12"/>
  </r>
  <r>
    <s v="CUST003"/>
    <x v="0"/>
    <x v="0"/>
    <x v="2"/>
    <n v="1005.53"/>
    <n v="17"/>
    <n v="0.2"/>
    <x v="42"/>
    <n v="201.11"/>
  </r>
  <r>
    <s v="CUST029"/>
    <x v="21"/>
    <x v="2"/>
    <x v="2"/>
    <n v="1100.0999999999999"/>
    <n v="5"/>
    <n v="0.05"/>
    <x v="43"/>
    <n v="261.27"/>
  </r>
  <r>
    <s v="CUST003"/>
    <x v="3"/>
    <x v="3"/>
    <x v="3"/>
    <n v="1034.7"/>
    <n v="15"/>
    <n v="0.15"/>
    <x v="44"/>
    <n v="307.82"/>
  </r>
  <r>
    <s v="CUST002"/>
    <x v="6"/>
    <x v="2"/>
    <x v="0"/>
    <n v="876.44"/>
    <n v="12"/>
    <n v="0.05"/>
    <x v="45"/>
    <n v="333.05"/>
  </r>
  <r>
    <s v="CUST020"/>
    <x v="18"/>
    <x v="0"/>
    <x v="3"/>
    <n v="1371.34"/>
    <n v="5"/>
    <n v="0.05"/>
    <x v="45"/>
    <n v="455.97"/>
  </r>
  <r>
    <s v="CUST021"/>
    <x v="13"/>
    <x v="3"/>
    <x v="2"/>
    <n v="1020.26"/>
    <n v="11"/>
    <n v="0.05"/>
    <x v="46"/>
    <n v="242.31"/>
  </r>
  <r>
    <s v="CUST008"/>
    <x v="0"/>
    <x v="4"/>
    <x v="4"/>
    <n v="804.81"/>
    <n v="1"/>
    <n v="0.05"/>
    <x v="47"/>
    <n v="344.06"/>
  </r>
  <r>
    <s v="CUST030"/>
    <x v="18"/>
    <x v="4"/>
    <x v="2"/>
    <n v="608.66"/>
    <n v="1"/>
    <n v="0.05"/>
    <x v="48"/>
    <n v="144.56"/>
  </r>
  <r>
    <s v="CUST020"/>
    <x v="25"/>
    <x v="2"/>
    <x v="4"/>
    <n v="981.2"/>
    <n v="19"/>
    <n v="0"/>
    <x v="49"/>
    <n v="441.54"/>
  </r>
  <r>
    <s v="CUST024"/>
    <x v="18"/>
    <x v="1"/>
    <x v="2"/>
    <n v="539.77"/>
    <n v="10"/>
    <n v="0.15"/>
    <x v="50"/>
    <n v="114.7"/>
  </r>
  <r>
    <s v="CUST012"/>
    <x v="26"/>
    <x v="2"/>
    <x v="0"/>
    <n v="804.45"/>
    <n v="5"/>
    <n v="0.2"/>
    <x v="50"/>
    <n v="257.42"/>
  </r>
  <r>
    <s v="CUST024"/>
    <x v="9"/>
    <x v="0"/>
    <x v="2"/>
    <n v="1526.6"/>
    <n v="13"/>
    <n v="0.2"/>
    <x v="51"/>
    <n v="305.32"/>
  </r>
  <r>
    <s v="CUST012"/>
    <x v="5"/>
    <x v="0"/>
    <x v="2"/>
    <n v="1215.26"/>
    <n v="5"/>
    <n v="0.15"/>
    <x v="52"/>
    <n v="258.24"/>
  </r>
  <r>
    <s v="CUST005"/>
    <x v="17"/>
    <x v="4"/>
    <x v="3"/>
    <n v="1261.3399999999999"/>
    <n v="3"/>
    <n v="0"/>
    <x v="53"/>
    <n v="441.47"/>
  </r>
  <r>
    <s v="CUST004"/>
    <x v="12"/>
    <x v="3"/>
    <x v="3"/>
    <n v="518.07000000000005"/>
    <n v="7"/>
    <n v="0.05"/>
    <x v="54"/>
    <n v="172.26"/>
  </r>
  <r>
    <s v="CUST026"/>
    <x v="5"/>
    <x v="0"/>
    <x v="4"/>
    <n v="1111.3399999999999"/>
    <n v="1"/>
    <n v="0"/>
    <x v="55"/>
    <n v="500.1"/>
  </r>
  <r>
    <s v="CUST030"/>
    <x v="6"/>
    <x v="1"/>
    <x v="1"/>
    <n v="1291.47"/>
    <n v="18"/>
    <n v="0.1"/>
    <x v="56"/>
    <n v="581.16"/>
  </r>
  <r>
    <s v="CUST007"/>
    <x v="18"/>
    <x v="3"/>
    <x v="0"/>
    <n v="679.71"/>
    <n v="19"/>
    <n v="0"/>
    <x v="57"/>
    <n v="271.88"/>
  </r>
  <r>
    <s v="CUST020"/>
    <x v="7"/>
    <x v="1"/>
    <x v="3"/>
    <n v="1143.69"/>
    <n v="17"/>
    <n v="0"/>
    <x v="57"/>
    <n v="400.29"/>
  </r>
  <r>
    <s v="CUST028"/>
    <x v="15"/>
    <x v="4"/>
    <x v="2"/>
    <n v="790.08"/>
    <n v="7"/>
    <n v="0.1"/>
    <x v="58"/>
    <n v="177.77"/>
  </r>
  <r>
    <s v="CUST005"/>
    <x v="14"/>
    <x v="4"/>
    <x v="0"/>
    <n v="1070.68"/>
    <n v="7"/>
    <n v="0.05"/>
    <x v="58"/>
    <n v="406.86"/>
  </r>
  <r>
    <s v="CUST015"/>
    <x v="8"/>
    <x v="0"/>
    <x v="1"/>
    <n v="1168.8900000000001"/>
    <n v="4"/>
    <n v="0.1"/>
    <x v="59"/>
    <n v="526"/>
  </r>
  <r>
    <s v="CUST003"/>
    <x v="0"/>
    <x v="2"/>
    <x v="2"/>
    <n v="1335.87"/>
    <n v="17"/>
    <n v="0"/>
    <x v="59"/>
    <n v="333.97"/>
  </r>
  <r>
    <s v="CUST023"/>
    <x v="18"/>
    <x v="1"/>
    <x v="3"/>
    <n v="873.7"/>
    <n v="9"/>
    <n v="0"/>
    <x v="60"/>
    <n v="305.8"/>
  </r>
  <r>
    <s v="CUST004"/>
    <x v="23"/>
    <x v="0"/>
    <x v="4"/>
    <n v="1443.98"/>
    <n v="19"/>
    <n v="0"/>
    <x v="61"/>
    <n v="649.79"/>
  </r>
  <r>
    <s v="CUST023"/>
    <x v="3"/>
    <x v="1"/>
    <x v="4"/>
    <n v="1154.33"/>
    <n v="11"/>
    <n v="0.15"/>
    <x v="62"/>
    <n v="441.53"/>
  </r>
  <r>
    <s v="CUST022"/>
    <x v="15"/>
    <x v="2"/>
    <x v="0"/>
    <n v="1264.49"/>
    <n v="16"/>
    <n v="0.05"/>
    <x v="62"/>
    <n v="480.51"/>
  </r>
  <r>
    <s v="CUST007"/>
    <x v="24"/>
    <x v="0"/>
    <x v="3"/>
    <n v="1101.55"/>
    <n v="4"/>
    <n v="0.1"/>
    <x v="63"/>
    <n v="346.99"/>
  </r>
  <r>
    <s v="CUST013"/>
    <x v="1"/>
    <x v="2"/>
    <x v="3"/>
    <n v="727.73"/>
    <n v="1"/>
    <n v="0.1"/>
    <x v="64"/>
    <n v="229.23"/>
  </r>
  <r>
    <s v="CUST027"/>
    <x v="9"/>
    <x v="1"/>
    <x v="4"/>
    <n v="875.41"/>
    <n v="13"/>
    <n v="0.15"/>
    <x v="64"/>
    <n v="334.84"/>
  </r>
  <r>
    <s v="CUST003"/>
    <x v="3"/>
    <x v="0"/>
    <x v="2"/>
    <n v="1158.94"/>
    <n v="19"/>
    <n v="0.2"/>
    <x v="65"/>
    <n v="231.79"/>
  </r>
  <r>
    <s v="CUST018"/>
    <x v="13"/>
    <x v="2"/>
    <x v="0"/>
    <n v="966.3"/>
    <n v="2"/>
    <n v="0.15"/>
    <x v="66"/>
    <n v="328.54"/>
  </r>
  <r>
    <s v="CUST020"/>
    <x v="2"/>
    <x v="2"/>
    <x v="0"/>
    <n v="917.48"/>
    <n v="6"/>
    <n v="0"/>
    <x v="67"/>
    <n v="366.99"/>
  </r>
  <r>
    <s v="CUST029"/>
    <x v="21"/>
    <x v="0"/>
    <x v="3"/>
    <n v="1172.97"/>
    <n v="7"/>
    <n v="0.15"/>
    <x v="68"/>
    <n v="348.96"/>
  </r>
  <r>
    <s v="CUST021"/>
    <x v="3"/>
    <x v="3"/>
    <x v="1"/>
    <n v="1205.82"/>
    <n v="11"/>
    <n v="0.1"/>
    <x v="68"/>
    <n v="542.62"/>
  </r>
  <r>
    <s v="CUST017"/>
    <x v="23"/>
    <x v="0"/>
    <x v="4"/>
    <n v="826.93"/>
    <n v="10"/>
    <n v="0.2"/>
    <x v="69"/>
    <n v="297.69"/>
  </r>
  <r>
    <s v="CUST003"/>
    <x v="3"/>
    <x v="4"/>
    <x v="1"/>
    <n v="902.19"/>
    <n v="12"/>
    <n v="0"/>
    <x v="69"/>
    <n v="451.1"/>
  </r>
  <r>
    <s v="CUST027"/>
    <x v="9"/>
    <x v="3"/>
    <x v="0"/>
    <n v="585.97"/>
    <n v="17"/>
    <n v="0.1"/>
    <x v="70"/>
    <n v="210.95"/>
  </r>
  <r>
    <s v="CUST016"/>
    <x v="4"/>
    <x v="3"/>
    <x v="1"/>
    <n v="990.19"/>
    <n v="8"/>
    <n v="0.1"/>
    <x v="70"/>
    <n v="445.59"/>
  </r>
  <r>
    <s v="CUST008"/>
    <x v="19"/>
    <x v="4"/>
    <x v="2"/>
    <n v="1014.09"/>
    <n v="13"/>
    <n v="0.2"/>
    <x v="71"/>
    <n v="202.82"/>
  </r>
  <r>
    <s v="CUST012"/>
    <x v="14"/>
    <x v="3"/>
    <x v="2"/>
    <n v="925.29"/>
    <n v="17"/>
    <n v="0"/>
    <x v="72"/>
    <n v="231.32"/>
  </r>
  <r>
    <s v="CUST025"/>
    <x v="13"/>
    <x v="1"/>
    <x v="3"/>
    <n v="1286.54"/>
    <n v="8"/>
    <n v="0"/>
    <x v="73"/>
    <n v="450.29"/>
  </r>
  <r>
    <s v="CUST014"/>
    <x v="23"/>
    <x v="2"/>
    <x v="0"/>
    <n v="961.62"/>
    <n v="8"/>
    <n v="0.2"/>
    <x v="74"/>
    <n v="307.72000000000003"/>
  </r>
  <r>
    <s v="CUST008"/>
    <x v="3"/>
    <x v="1"/>
    <x v="0"/>
    <n v="1081.1400000000001"/>
    <n v="19"/>
    <n v="0.15"/>
    <x v="74"/>
    <n v="367.59"/>
  </r>
  <r>
    <s v="CUST015"/>
    <x v="3"/>
    <x v="0"/>
    <x v="1"/>
    <n v="1923.66"/>
    <n v="9"/>
    <n v="0.2"/>
    <x v="75"/>
    <n v="769.46"/>
  </r>
  <r>
    <s v="CUST025"/>
    <x v="24"/>
    <x v="4"/>
    <x v="1"/>
    <n v="728.71"/>
    <n v="14"/>
    <n v="0.1"/>
    <x v="76"/>
    <n v="327.92"/>
  </r>
  <r>
    <s v="CUST019"/>
    <x v="7"/>
    <x v="4"/>
    <x v="1"/>
    <n v="1301.8900000000001"/>
    <n v="7"/>
    <n v="0.15"/>
    <x v="76"/>
    <n v="553.29999999999995"/>
  </r>
  <r>
    <s v="CUST024"/>
    <x v="24"/>
    <x v="1"/>
    <x v="0"/>
    <n v="980.18"/>
    <n v="16"/>
    <n v="0.1"/>
    <x v="77"/>
    <n v="352.86"/>
  </r>
  <r>
    <s v="CUST027"/>
    <x v="3"/>
    <x v="0"/>
    <x v="1"/>
    <n v="697.57"/>
    <n v="17"/>
    <n v="0.1"/>
    <x v="78"/>
    <n v="313.91000000000003"/>
  </r>
  <r>
    <s v="CUST006"/>
    <x v="26"/>
    <x v="0"/>
    <x v="3"/>
    <n v="1193.6099999999999"/>
    <n v="1"/>
    <n v="0.15"/>
    <x v="78"/>
    <n v="355.1"/>
  </r>
  <r>
    <s v="CUST009"/>
    <x v="9"/>
    <x v="2"/>
    <x v="2"/>
    <n v="771.02"/>
    <n v="1"/>
    <n v="0"/>
    <x v="79"/>
    <n v="192.76"/>
  </r>
  <r>
    <s v="CUST003"/>
    <x v="25"/>
    <x v="3"/>
    <x v="1"/>
    <n v="661.09"/>
    <n v="1"/>
    <n v="0.2"/>
    <x v="80"/>
    <n v="264.44"/>
  </r>
  <r>
    <s v="CUST012"/>
    <x v="18"/>
    <x v="0"/>
    <x v="2"/>
    <n v="688.83"/>
    <n v="15"/>
    <n v="0"/>
    <x v="81"/>
    <n v="172.21"/>
  </r>
  <r>
    <s v="CUST013"/>
    <x v="5"/>
    <x v="4"/>
    <x v="0"/>
    <n v="1249.0999999999999"/>
    <n v="4"/>
    <n v="0.05"/>
    <x v="82"/>
    <n v="474.66"/>
  </r>
  <r>
    <s v="CUST008"/>
    <x v="3"/>
    <x v="1"/>
    <x v="4"/>
    <n v="1014.22"/>
    <n v="14"/>
    <n v="0.05"/>
    <x v="83"/>
    <n v="433.58"/>
  </r>
  <r>
    <s v="CUST025"/>
    <x v="14"/>
    <x v="1"/>
    <x v="0"/>
    <n v="1010.58"/>
    <n v="2"/>
    <n v="0.15"/>
    <x v="84"/>
    <n v="343.6"/>
  </r>
  <r>
    <s v="CUST026"/>
    <x v="20"/>
    <x v="3"/>
    <x v="3"/>
    <n v="957.29"/>
    <n v="4"/>
    <n v="0.05"/>
    <x v="84"/>
    <n v="318.3"/>
  </r>
  <r>
    <s v="CUST001"/>
    <x v="12"/>
    <x v="3"/>
    <x v="3"/>
    <n v="1077.92"/>
    <n v="3"/>
    <n v="0.05"/>
    <x v="85"/>
    <n v="358.41"/>
  </r>
  <r>
    <s v="CUST028"/>
    <x v="15"/>
    <x v="2"/>
    <x v="1"/>
    <n v="1163.01"/>
    <n v="5"/>
    <n v="0"/>
    <x v="86"/>
    <n v="581.5"/>
  </r>
  <r>
    <s v="CUST025"/>
    <x v="12"/>
    <x v="1"/>
    <x v="4"/>
    <n v="1014.56"/>
    <n v="10"/>
    <n v="0.1"/>
    <x v="87"/>
    <n v="410.9"/>
  </r>
  <r>
    <s v="CUST019"/>
    <x v="2"/>
    <x v="2"/>
    <x v="2"/>
    <n v="718.04"/>
    <n v="14"/>
    <n v="0"/>
    <x v="88"/>
    <n v="179.51"/>
  </r>
  <r>
    <s v="CUST004"/>
    <x v="2"/>
    <x v="4"/>
    <x v="1"/>
    <n v="1277.8499999999999"/>
    <n v="18"/>
    <n v="0.2"/>
    <x v="88"/>
    <n v="511.14"/>
  </r>
  <r>
    <s v="CUST024"/>
    <x v="3"/>
    <x v="3"/>
    <x v="2"/>
    <n v="706.73"/>
    <n v="1"/>
    <n v="0.15"/>
    <x v="88"/>
    <n v="150.18"/>
  </r>
  <r>
    <s v="CUST002"/>
    <x v="15"/>
    <x v="1"/>
    <x v="2"/>
    <n v="1410.59"/>
    <n v="15"/>
    <n v="0"/>
    <x v="89"/>
    <n v="352.65"/>
  </r>
  <r>
    <s v="CUST009"/>
    <x v="21"/>
    <x v="2"/>
    <x v="3"/>
    <n v="1350.33"/>
    <n v="10"/>
    <n v="0"/>
    <x v="89"/>
    <n v="472.62"/>
  </r>
  <r>
    <s v="CUST029"/>
    <x v="12"/>
    <x v="1"/>
    <x v="2"/>
    <n v="919.18"/>
    <n v="4"/>
    <n v="0.15"/>
    <x v="89"/>
    <n v="195.33"/>
  </r>
  <r>
    <s v="CUST027"/>
    <x v="3"/>
    <x v="0"/>
    <x v="2"/>
    <n v="258.51"/>
    <n v="19"/>
    <n v="0"/>
    <x v="90"/>
    <n v="64.63"/>
  </r>
  <r>
    <s v="CUST011"/>
    <x v="21"/>
    <x v="1"/>
    <x v="0"/>
    <n v="1213.48"/>
    <n v="5"/>
    <n v="0.05"/>
    <x v="90"/>
    <n v="461.12"/>
  </r>
  <r>
    <s v="CUST021"/>
    <x v="9"/>
    <x v="4"/>
    <x v="0"/>
    <n v="1150.28"/>
    <n v="8"/>
    <n v="0.05"/>
    <x v="91"/>
    <n v="437.11"/>
  </r>
  <r>
    <s v="CUST014"/>
    <x v="26"/>
    <x v="2"/>
    <x v="3"/>
    <n v="853.86"/>
    <n v="8"/>
    <n v="0.1"/>
    <x v="91"/>
    <n v="268.97000000000003"/>
  </r>
  <r>
    <s v="CUST018"/>
    <x v="12"/>
    <x v="2"/>
    <x v="2"/>
    <n v="1061.04"/>
    <n v="1"/>
    <n v="0"/>
    <x v="92"/>
    <n v="265.26"/>
  </r>
  <r>
    <s v="CUST001"/>
    <x v="11"/>
    <x v="0"/>
    <x v="2"/>
    <n v="894.55"/>
    <n v="19"/>
    <n v="0.2"/>
    <x v="93"/>
    <n v="178.91"/>
  </r>
  <r>
    <s v="CUST007"/>
    <x v="9"/>
    <x v="3"/>
    <x v="4"/>
    <n v="833.91"/>
    <n v="3"/>
    <n v="0.05"/>
    <x v="94"/>
    <n v="356.5"/>
  </r>
  <r>
    <s v="CUST015"/>
    <x v="26"/>
    <x v="0"/>
    <x v="3"/>
    <n v="820.19"/>
    <n v="4"/>
    <n v="0.2"/>
    <x v="95"/>
    <n v="229.65"/>
  </r>
  <r>
    <s v="CUST015"/>
    <x v="9"/>
    <x v="4"/>
    <x v="2"/>
    <n v="511.74"/>
    <n v="8"/>
    <n v="0.05"/>
    <x v="96"/>
    <n v="121.54"/>
  </r>
  <r>
    <s v="CUST002"/>
    <x v="21"/>
    <x v="2"/>
    <x v="3"/>
    <n v="806.03"/>
    <n v="19"/>
    <n v="0.05"/>
    <x v="97"/>
    <n v="268"/>
  </r>
  <r>
    <s v="CUST001"/>
    <x v="4"/>
    <x v="4"/>
    <x v="3"/>
    <n v="1432.47"/>
    <n v="16"/>
    <n v="0.15"/>
    <x v="98"/>
    <n v="426.16"/>
  </r>
  <r>
    <s v="CUST027"/>
    <x v="5"/>
    <x v="4"/>
    <x v="2"/>
    <n v="1488.58"/>
    <n v="10"/>
    <n v="0.15"/>
    <x v="98"/>
    <n v="316.32"/>
  </r>
  <r>
    <s v="CUST026"/>
    <x v="24"/>
    <x v="1"/>
    <x v="0"/>
    <n v="1231.26"/>
    <n v="9"/>
    <n v="0"/>
    <x v="99"/>
    <n v="492.5"/>
  </r>
  <r>
    <s v="CUST026"/>
    <x v="11"/>
    <x v="0"/>
    <x v="2"/>
    <n v="1161.67"/>
    <n v="19"/>
    <n v="0.2"/>
    <x v="100"/>
    <n v="232.33"/>
  </r>
  <r>
    <s v="CUST022"/>
    <x v="12"/>
    <x v="4"/>
    <x v="4"/>
    <n v="388.23"/>
    <n v="16"/>
    <n v="0.05"/>
    <x v="101"/>
    <n v="165.97"/>
  </r>
  <r>
    <s v="CUST004"/>
    <x v="6"/>
    <x v="3"/>
    <x v="1"/>
    <n v="1589.42"/>
    <n v="6"/>
    <n v="0.15"/>
    <x v="102"/>
    <n v="675.5"/>
  </r>
  <r>
    <s v="CUST001"/>
    <x v="26"/>
    <x v="3"/>
    <x v="1"/>
    <n v="336.66"/>
    <n v="13"/>
    <n v="0.2"/>
    <x v="102"/>
    <n v="134.66"/>
  </r>
  <r>
    <s v="CUST022"/>
    <x v="3"/>
    <x v="0"/>
    <x v="0"/>
    <n v="1353.79"/>
    <n v="14"/>
    <n v="0.1"/>
    <x v="103"/>
    <n v="487.36"/>
  </r>
  <r>
    <s v="CUST011"/>
    <x v="25"/>
    <x v="4"/>
    <x v="1"/>
    <n v="662.61"/>
    <n v="11"/>
    <n v="0.05"/>
    <x v="104"/>
    <n v="314.74"/>
  </r>
  <r>
    <s v="CUST028"/>
    <x v="14"/>
    <x v="3"/>
    <x v="4"/>
    <n v="309.42"/>
    <n v="1"/>
    <n v="0.2"/>
    <x v="104"/>
    <n v="111.39"/>
  </r>
  <r>
    <s v="CUST011"/>
    <x v="5"/>
    <x v="3"/>
    <x v="0"/>
    <n v="884.63"/>
    <n v="18"/>
    <n v="0.1"/>
    <x v="105"/>
    <n v="318.47000000000003"/>
  </r>
  <r>
    <s v="CUST028"/>
    <x v="3"/>
    <x v="4"/>
    <x v="4"/>
    <n v="745.05"/>
    <n v="10"/>
    <n v="0.1"/>
    <x v="106"/>
    <n v="301.75"/>
  </r>
  <r>
    <s v="CUST016"/>
    <x v="2"/>
    <x v="2"/>
    <x v="1"/>
    <n v="870.23"/>
    <n v="5"/>
    <n v="0.05"/>
    <x v="106"/>
    <n v="413.36"/>
  </r>
  <r>
    <s v="CUST010"/>
    <x v="5"/>
    <x v="0"/>
    <x v="3"/>
    <n v="862.19"/>
    <n v="18"/>
    <n v="0.05"/>
    <x v="107"/>
    <n v="286.68"/>
  </r>
  <r>
    <s v="CUST013"/>
    <x v="20"/>
    <x v="3"/>
    <x v="1"/>
    <n v="1171.18"/>
    <n v="19"/>
    <n v="0.05"/>
    <x v="108"/>
    <n v="556.30999999999995"/>
  </r>
  <r>
    <s v="CUST015"/>
    <x v="1"/>
    <x v="2"/>
    <x v="3"/>
    <n v="1054.56"/>
    <n v="11"/>
    <n v="0.1"/>
    <x v="109"/>
    <n v="332.19"/>
  </r>
  <r>
    <s v="CUST015"/>
    <x v="3"/>
    <x v="3"/>
    <x v="2"/>
    <n v="1681.21"/>
    <n v="5"/>
    <n v="0.2"/>
    <x v="110"/>
    <n v="336.24"/>
  </r>
  <r>
    <s v="CUST015"/>
    <x v="8"/>
    <x v="0"/>
    <x v="1"/>
    <n v="379.77"/>
    <n v="9"/>
    <n v="0.05"/>
    <x v="111"/>
    <n v="180.39"/>
  </r>
  <r>
    <s v="CUST008"/>
    <x v="12"/>
    <x v="4"/>
    <x v="1"/>
    <n v="1076.33"/>
    <n v="2"/>
    <n v="0.1"/>
    <x v="112"/>
    <n v="484.35"/>
  </r>
  <r>
    <s v="CUST008"/>
    <x v="6"/>
    <x v="4"/>
    <x v="4"/>
    <n v="1250.71"/>
    <n v="7"/>
    <n v="0"/>
    <x v="112"/>
    <n v="562.82000000000005"/>
  </r>
  <r>
    <s v="CUST023"/>
    <x v="2"/>
    <x v="2"/>
    <x v="1"/>
    <n v="1118.3399999999999"/>
    <n v="6"/>
    <n v="0.2"/>
    <x v="112"/>
    <n v="447.34"/>
  </r>
  <r>
    <s v="CUST024"/>
    <x v="17"/>
    <x v="3"/>
    <x v="1"/>
    <n v="1622.62"/>
    <n v="12"/>
    <n v="0.2"/>
    <x v="113"/>
    <n v="649.04999999999995"/>
  </r>
  <r>
    <s v="CUST018"/>
    <x v="14"/>
    <x v="3"/>
    <x v="0"/>
    <n v="640.64"/>
    <n v="11"/>
    <n v="0.2"/>
    <x v="114"/>
    <n v="205"/>
  </r>
  <r>
    <s v="CUST030"/>
    <x v="11"/>
    <x v="0"/>
    <x v="1"/>
    <n v="585.16"/>
    <n v="17"/>
    <n v="0.1"/>
    <x v="115"/>
    <n v="263.32"/>
  </r>
  <r>
    <s v="CUST030"/>
    <x v="6"/>
    <x v="1"/>
    <x v="1"/>
    <n v="1109.98"/>
    <n v="5"/>
    <n v="0.2"/>
    <x v="116"/>
    <n v="443.99"/>
  </r>
  <r>
    <s v="CUST015"/>
    <x v="12"/>
    <x v="1"/>
    <x v="0"/>
    <n v="1098.08"/>
    <n v="9"/>
    <n v="0.1"/>
    <x v="117"/>
    <n v="395.31"/>
  </r>
  <r>
    <s v="CUST002"/>
    <x v="14"/>
    <x v="0"/>
    <x v="4"/>
    <n v="827.25"/>
    <n v="7"/>
    <n v="0.1"/>
    <x v="118"/>
    <n v="335.04"/>
  </r>
  <r>
    <s v="CUST024"/>
    <x v="5"/>
    <x v="4"/>
    <x v="1"/>
    <n v="741.88"/>
    <n v="16"/>
    <n v="0.1"/>
    <x v="119"/>
    <n v="333.85"/>
  </r>
  <r>
    <s v="CUST004"/>
    <x v="0"/>
    <x v="1"/>
    <x v="4"/>
    <n v="1311.26"/>
    <n v="6"/>
    <n v="0.1"/>
    <x v="120"/>
    <n v="531.05999999999995"/>
  </r>
  <r>
    <s v="CUST004"/>
    <x v="6"/>
    <x v="2"/>
    <x v="4"/>
    <n v="573.32000000000005"/>
    <n v="19"/>
    <n v="0.1"/>
    <x v="121"/>
    <n v="232.19"/>
  </r>
  <r>
    <s v="CUST028"/>
    <x v="3"/>
    <x v="0"/>
    <x v="2"/>
    <n v="1115.22"/>
    <n v="14"/>
    <n v="0.2"/>
    <x v="122"/>
    <n v="223.04"/>
  </r>
  <r>
    <s v="CUST012"/>
    <x v="12"/>
    <x v="3"/>
    <x v="1"/>
    <n v="845.84"/>
    <n v="4"/>
    <n v="0"/>
    <x v="123"/>
    <n v="422.92"/>
  </r>
  <r>
    <s v="CUST026"/>
    <x v="18"/>
    <x v="0"/>
    <x v="2"/>
    <n v="1029.8"/>
    <n v="3"/>
    <n v="0"/>
    <x v="124"/>
    <n v="257.45"/>
  </r>
  <r>
    <s v="CUST009"/>
    <x v="6"/>
    <x v="3"/>
    <x v="0"/>
    <n v="1189.83"/>
    <n v="2"/>
    <n v="0.2"/>
    <x v="125"/>
    <n v="380.75"/>
  </r>
  <r>
    <s v="CUST003"/>
    <x v="11"/>
    <x v="2"/>
    <x v="0"/>
    <n v="704.28"/>
    <n v="15"/>
    <n v="0.2"/>
    <x v="126"/>
    <n v="225.37"/>
  </r>
  <r>
    <s v="CUST002"/>
    <x v="13"/>
    <x v="4"/>
    <x v="4"/>
    <n v="1618.22"/>
    <n v="12"/>
    <n v="0.2"/>
    <x v="126"/>
    <n v="582.55999999999995"/>
  </r>
  <r>
    <s v="CUST013"/>
    <x v="17"/>
    <x v="4"/>
    <x v="0"/>
    <n v="1014.43"/>
    <n v="2"/>
    <n v="0.15"/>
    <x v="127"/>
    <n v="344.91"/>
  </r>
  <r>
    <s v="CUST018"/>
    <x v="6"/>
    <x v="4"/>
    <x v="1"/>
    <n v="826.97"/>
    <n v="18"/>
    <n v="0.2"/>
    <x v="128"/>
    <n v="330.79"/>
  </r>
  <r>
    <s v="CUST017"/>
    <x v="6"/>
    <x v="4"/>
    <x v="1"/>
    <n v="1022.23"/>
    <n v="8"/>
    <n v="0.1"/>
    <x v="129"/>
    <n v="460"/>
  </r>
  <r>
    <s v="CUST004"/>
    <x v="5"/>
    <x v="1"/>
    <x v="0"/>
    <n v="1099.69"/>
    <n v="6"/>
    <n v="0"/>
    <x v="130"/>
    <n v="439.88"/>
  </r>
  <r>
    <s v="CUST028"/>
    <x v="23"/>
    <x v="3"/>
    <x v="0"/>
    <n v="710.52"/>
    <n v="8"/>
    <n v="0.1"/>
    <x v="131"/>
    <n v="255.79"/>
  </r>
  <r>
    <s v="CUST028"/>
    <x v="20"/>
    <x v="3"/>
    <x v="0"/>
    <n v="499.18"/>
    <n v="15"/>
    <n v="0.2"/>
    <x v="132"/>
    <n v="159.74"/>
  </r>
  <r>
    <s v="CUST014"/>
    <x v="9"/>
    <x v="2"/>
    <x v="0"/>
    <n v="1064.19"/>
    <n v="18"/>
    <n v="0.05"/>
    <x v="133"/>
    <n v="404.39"/>
  </r>
  <r>
    <s v="CUST003"/>
    <x v="9"/>
    <x v="1"/>
    <x v="4"/>
    <n v="438.76"/>
    <n v="18"/>
    <n v="0.05"/>
    <x v="134"/>
    <n v="187.57"/>
  </r>
  <r>
    <s v="CUST029"/>
    <x v="18"/>
    <x v="0"/>
    <x v="1"/>
    <n v="864.98"/>
    <n v="2"/>
    <n v="0.05"/>
    <x v="135"/>
    <n v="410.87"/>
  </r>
  <r>
    <s v="CUST021"/>
    <x v="18"/>
    <x v="0"/>
    <x v="3"/>
    <n v="984.93"/>
    <n v="14"/>
    <n v="0.2"/>
    <x v="136"/>
    <n v="275.77999999999997"/>
  </r>
  <r>
    <s v="CUST007"/>
    <x v="18"/>
    <x v="0"/>
    <x v="1"/>
    <n v="1493.49"/>
    <n v="18"/>
    <n v="0"/>
    <x v="137"/>
    <n v="746.74"/>
  </r>
  <r>
    <s v="CUST009"/>
    <x v="17"/>
    <x v="2"/>
    <x v="1"/>
    <n v="689.43"/>
    <n v="9"/>
    <n v="0.1"/>
    <x v="138"/>
    <n v="310.24"/>
  </r>
  <r>
    <s v="CUST023"/>
    <x v="20"/>
    <x v="2"/>
    <x v="1"/>
    <n v="682.24"/>
    <n v="1"/>
    <n v="0"/>
    <x v="139"/>
    <n v="341.12"/>
  </r>
  <r>
    <s v="CUST029"/>
    <x v="4"/>
    <x v="3"/>
    <x v="2"/>
    <n v="458.54"/>
    <n v="15"/>
    <n v="0.2"/>
    <x v="140"/>
    <n v="91.71"/>
  </r>
  <r>
    <s v="CUST009"/>
    <x v="4"/>
    <x v="2"/>
    <x v="3"/>
    <n v="1184.25"/>
    <n v="11"/>
    <n v="0.2"/>
    <x v="141"/>
    <n v="331.59"/>
  </r>
  <r>
    <s v="CUST007"/>
    <x v="0"/>
    <x v="2"/>
    <x v="1"/>
    <n v="762.14"/>
    <n v="9"/>
    <n v="0"/>
    <x v="142"/>
    <n v="381.07"/>
  </r>
  <r>
    <s v="CUST030"/>
    <x v="17"/>
    <x v="3"/>
    <x v="0"/>
    <n v="750.71"/>
    <n v="10"/>
    <n v="0.15"/>
    <x v="142"/>
    <n v="255.24"/>
  </r>
  <r>
    <s v="CUST018"/>
    <x v="26"/>
    <x v="4"/>
    <x v="1"/>
    <n v="1456.94"/>
    <n v="14"/>
    <n v="0.05"/>
    <x v="143"/>
    <n v="692.05"/>
  </r>
  <r>
    <s v="CUST008"/>
    <x v="21"/>
    <x v="1"/>
    <x v="3"/>
    <n v="1093.3800000000001"/>
    <n v="17"/>
    <n v="0.1"/>
    <x v="143"/>
    <n v="344.41"/>
  </r>
  <r>
    <s v="CUST014"/>
    <x v="11"/>
    <x v="0"/>
    <x v="1"/>
    <n v="934.27"/>
    <n v="8"/>
    <n v="0.15"/>
    <x v="144"/>
    <n v="397.06"/>
  </r>
  <r>
    <s v="CUST024"/>
    <x v="8"/>
    <x v="4"/>
    <x v="1"/>
    <n v="1465.35"/>
    <n v="8"/>
    <n v="0.2"/>
    <x v="144"/>
    <n v="586.14"/>
  </r>
  <r>
    <s v="CUST028"/>
    <x v="1"/>
    <x v="2"/>
    <x v="4"/>
    <n v="740.8"/>
    <n v="3"/>
    <n v="0"/>
    <x v="145"/>
    <n v="333.36"/>
  </r>
  <r>
    <s v="CUST015"/>
    <x v="11"/>
    <x v="0"/>
    <x v="4"/>
    <n v="545.44000000000005"/>
    <n v="17"/>
    <n v="0"/>
    <x v="146"/>
    <n v="245.45"/>
  </r>
  <r>
    <s v="CUST010"/>
    <x v="8"/>
    <x v="1"/>
    <x v="0"/>
    <n v="997.61"/>
    <n v="8"/>
    <n v="0.05"/>
    <x v="146"/>
    <n v="379.09"/>
  </r>
  <r>
    <s v="CUST016"/>
    <x v="8"/>
    <x v="2"/>
    <x v="1"/>
    <n v="928.32"/>
    <n v="2"/>
    <n v="0.05"/>
    <x v="147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BA05A-E17C-4413-B960-33A4E63DB1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D1346-3FAA-4B5D-B2E6-0DA419308D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2" firstDataCol="1"/>
  <pivotFields count="12">
    <pivotField showAll="0"/>
    <pivotField showAll="0"/>
    <pivotField axis="axisRow" showAll="0">
      <items count="6">
        <item h="1" x="4"/>
        <item x="1"/>
        <item h="1"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4">
    <i>
      <x v="1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F3776-8B3D-42C2-B9B4-BBB238B9F9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9" firstHeaderRow="1" firstDataRow="1" firstDataCol="1"/>
  <pivotFields count="12">
    <pivotField showAll="0"/>
    <pivotField axis="axisRow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showAll="0"/>
    <pivotField showAll="0"/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C8A67-AB12-4A65-A9A3-10DBDF3F7BF8}" name="Table1" displayName="Table1" ref="A1:K201" totalsRowShown="0" headerRowDxfId="18" dataDxfId="16" headerRowBorderDxfId="17" tableBorderDxfId="15" totalsRowBorderDxfId="14">
  <autoFilter ref="A1:K201" xr:uid="{27EC8A67-AB12-4A65-A9A3-10DBDF3F7BF8}"/>
  <tableColumns count="11">
    <tableColumn id="1" xr3:uid="{36B358CA-6A30-432F-9548-DAC2452F22A8}" name="Customer_ID" dataDxfId="13"/>
    <tableColumn id="2" xr3:uid="{E6634115-6F6C-4E84-BF7C-04E3623E3B3B}" name="Customer_Name" dataDxfId="12"/>
    <tableColumn id="3" xr3:uid="{2729C3AD-6EA3-48D6-B309-BABFDCCA7ADA}" name="Region" dataDxfId="11"/>
    <tableColumn id="4" xr3:uid="{D63A59AD-F19F-4E08-82FF-5195BB2E20A2}" name="Product_Category" dataDxfId="10"/>
    <tableColumn id="5" xr3:uid="{3226C544-EBFD-4F8C-8349-3CA0930BEF93}" name="Sales" dataDxfId="9"/>
    <tableColumn id="6" xr3:uid="{C16CF2A9-CC74-40F4-B696-E3640118AF23}" name="Quantity" dataDxfId="8"/>
    <tableColumn id="7" xr3:uid="{9A5EA0E1-B0F3-4E52-8403-91F24710E336}" name="Discount" dataDxfId="7"/>
    <tableColumn id="8" xr3:uid="{814C939D-6988-43A4-87B6-D6F39F08911F}" name="Order_Date" dataDxfId="6"/>
    <tableColumn id="9" xr3:uid="{701BB706-7B86-4DE8-86CF-FB71E6E50D5C}" name="Profit" dataDxfId="5"/>
    <tableColumn id="10" xr3:uid="{8E68B426-FF2F-4331-8F65-51301A02D360}" name="month_name" dataDxfId="4">
      <calculatedColumnFormula>TEXT(H2,"mmm")</calculatedColumnFormula>
    </tableColumn>
    <tableColumn id="11" xr3:uid="{C780F268-6D6A-4945-A1A4-BB507B7B6629}" name="profit1" dataDxfId="3">
      <calculatedColumnFormula>E2*(1-$N$2)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F664-659D-48DA-9E57-3337B13CCF58}">
  <dimension ref="A1:C20"/>
  <sheetViews>
    <sheetView tabSelected="1" workbookViewId="0">
      <selection activeCell="B3" sqref="B3"/>
    </sheetView>
  </sheetViews>
  <sheetFormatPr defaultRowHeight="14.4" x14ac:dyDescent="0.3"/>
  <cols>
    <col min="1" max="1" width="22.109375" customWidth="1"/>
    <col min="2" max="2" width="16.44140625" customWidth="1"/>
  </cols>
  <sheetData>
    <row r="1" spans="1:3" x14ac:dyDescent="0.3">
      <c r="A1" s="19" t="s">
        <v>106</v>
      </c>
      <c r="B1" s="19"/>
    </row>
    <row r="3" spans="1:3" x14ac:dyDescent="0.3">
      <c r="A3" t="s">
        <v>107</v>
      </c>
      <c r="B3">
        <v>341.43505000000005</v>
      </c>
      <c r="C3" t="s">
        <v>135</v>
      </c>
    </row>
    <row r="4" spans="1:3" x14ac:dyDescent="0.3">
      <c r="A4" t="s">
        <v>86</v>
      </c>
      <c r="B4">
        <v>9.6001196472332531</v>
      </c>
    </row>
    <row r="5" spans="1:3" x14ac:dyDescent="0.3">
      <c r="A5" t="s">
        <v>108</v>
      </c>
      <c r="B5">
        <v>332.255</v>
      </c>
    </row>
    <row r="6" spans="1:3" x14ac:dyDescent="0.3">
      <c r="A6" t="s">
        <v>109</v>
      </c>
      <c r="B6" t="e">
        <v>#N/A</v>
      </c>
    </row>
    <row r="7" spans="1:3" x14ac:dyDescent="0.3">
      <c r="A7" t="s">
        <v>110</v>
      </c>
      <c r="B7">
        <v>135.7661940552168</v>
      </c>
    </row>
    <row r="8" spans="1:3" x14ac:dyDescent="0.3">
      <c r="A8" t="s">
        <v>111</v>
      </c>
      <c r="B8">
        <v>18432.459448238787</v>
      </c>
    </row>
    <row r="9" spans="1:3" x14ac:dyDescent="0.3">
      <c r="A9" t="s">
        <v>112</v>
      </c>
      <c r="B9">
        <v>0.26450643813582442</v>
      </c>
    </row>
    <row r="10" spans="1:3" x14ac:dyDescent="0.3">
      <c r="A10" t="s">
        <v>113</v>
      </c>
      <c r="B10">
        <v>0.57339636063424715</v>
      </c>
    </row>
    <row r="11" spans="1:3" x14ac:dyDescent="0.3">
      <c r="A11" t="s">
        <v>114</v>
      </c>
      <c r="B11">
        <v>704.83</v>
      </c>
    </row>
    <row r="12" spans="1:3" x14ac:dyDescent="0.3">
      <c r="A12" t="s">
        <v>115</v>
      </c>
      <c r="B12">
        <v>64.63</v>
      </c>
    </row>
    <row r="13" spans="1:3" x14ac:dyDescent="0.3">
      <c r="A13" t="s">
        <v>116</v>
      </c>
      <c r="B13">
        <v>769.46</v>
      </c>
    </row>
    <row r="14" spans="1:3" x14ac:dyDescent="0.3">
      <c r="A14" t="s">
        <v>117</v>
      </c>
      <c r="B14">
        <v>68287.010000000009</v>
      </c>
    </row>
    <row r="15" spans="1:3" ht="15" thickBot="1" x14ac:dyDescent="0.35">
      <c r="A15" s="17" t="s">
        <v>118</v>
      </c>
      <c r="B15" s="17">
        <v>200</v>
      </c>
    </row>
    <row r="17" spans="1:1" x14ac:dyDescent="0.3">
      <c r="A17" t="s">
        <v>133</v>
      </c>
    </row>
    <row r="18" spans="1:1" x14ac:dyDescent="0.3">
      <c r="A18" s="21">
        <f ca="1">NOW()</f>
        <v>46242.469034606482</v>
      </c>
    </row>
    <row r="19" spans="1:1" x14ac:dyDescent="0.3">
      <c r="A19" t="s">
        <v>134</v>
      </c>
    </row>
    <row r="20" spans="1:1" x14ac:dyDescent="0.3">
      <c r="A20" s="21">
        <f ca="1">TODAY()</f>
        <v>46242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3CC9-876F-4A79-81FB-9AE8629937E3}">
  <dimension ref="A1:I18"/>
  <sheetViews>
    <sheetView workbookViewId="0">
      <selection activeCell="B19" sqref="B19"/>
    </sheetView>
  </sheetViews>
  <sheetFormatPr defaultRowHeight="14.4" x14ac:dyDescent="0.3"/>
  <cols>
    <col min="1" max="1" width="18.33203125" customWidth="1"/>
    <col min="2" max="2" width="17.44140625" customWidth="1"/>
    <col min="3" max="3" width="13.6640625" customWidth="1"/>
    <col min="6" max="6" width="15.44140625" customWidth="1"/>
  </cols>
  <sheetData>
    <row r="1" spans="1:9" x14ac:dyDescent="0.3">
      <c r="A1" t="s">
        <v>81</v>
      </c>
    </row>
    <row r="2" spans="1:9" ht="15" thickBot="1" x14ac:dyDescent="0.35"/>
    <row r="3" spans="1:9" x14ac:dyDescent="0.3">
      <c r="A3" s="19" t="s">
        <v>82</v>
      </c>
      <c r="B3" s="19"/>
    </row>
    <row r="4" spans="1:9" x14ac:dyDescent="0.3">
      <c r="A4" t="s">
        <v>83</v>
      </c>
      <c r="B4">
        <v>0.77340306414342619</v>
      </c>
    </row>
    <row r="5" spans="1:9" x14ac:dyDescent="0.3">
      <c r="A5" t="s">
        <v>84</v>
      </c>
      <c r="B5">
        <v>0.59815229962644056</v>
      </c>
    </row>
    <row r="6" spans="1:9" x14ac:dyDescent="0.3">
      <c r="A6" t="s">
        <v>85</v>
      </c>
      <c r="B6">
        <v>0.59612276578617007</v>
      </c>
    </row>
    <row r="7" spans="1:9" x14ac:dyDescent="0.3">
      <c r="A7" t="s">
        <v>86</v>
      </c>
      <c r="B7">
        <v>86.281230529665166</v>
      </c>
    </row>
    <row r="8" spans="1:9" ht="15" thickBot="1" x14ac:dyDescent="0.35">
      <c r="A8" s="17" t="s">
        <v>87</v>
      </c>
      <c r="B8" s="17">
        <v>200</v>
      </c>
    </row>
    <row r="10" spans="1:9" ht="15" thickBot="1" x14ac:dyDescent="0.35">
      <c r="A10" t="s">
        <v>88</v>
      </c>
    </row>
    <row r="11" spans="1:9" x14ac:dyDescent="0.3">
      <c r="A11" s="18"/>
      <c r="B11" s="18" t="s">
        <v>93</v>
      </c>
      <c r="C11" s="18" t="s">
        <v>94</v>
      </c>
      <c r="D11" s="18" t="s">
        <v>95</v>
      </c>
      <c r="E11" s="18" t="s">
        <v>96</v>
      </c>
      <c r="F11" s="18" t="s">
        <v>97</v>
      </c>
    </row>
    <row r="12" spans="1:9" x14ac:dyDescent="0.3">
      <c r="A12" t="s">
        <v>89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</row>
    <row r="13" spans="1:9" x14ac:dyDescent="0.3">
      <c r="A13" t="s">
        <v>90</v>
      </c>
      <c r="B13">
        <v>198</v>
      </c>
      <c r="C13">
        <v>1474001.2468592182</v>
      </c>
      <c r="D13">
        <v>7444.4507417132236</v>
      </c>
    </row>
    <row r="14" spans="1:9" ht="15" thickBot="1" x14ac:dyDescent="0.35">
      <c r="A14" s="17" t="s">
        <v>91</v>
      </c>
      <c r="B14" s="17">
        <v>199</v>
      </c>
      <c r="C14" s="17">
        <v>3668059.4301995002</v>
      </c>
      <c r="D14" s="17"/>
      <c r="E14" s="17"/>
      <c r="F14" s="17"/>
    </row>
    <row r="15" spans="1:9" ht="15" thickBot="1" x14ac:dyDescent="0.35"/>
    <row r="16" spans="1:9" x14ac:dyDescent="0.3">
      <c r="A16" s="18"/>
      <c r="B16" s="18" t="s">
        <v>98</v>
      </c>
      <c r="C16" s="18" t="s">
        <v>86</v>
      </c>
      <c r="D16" s="18" t="s">
        <v>99</v>
      </c>
      <c r="E16" s="18" t="s">
        <v>100</v>
      </c>
      <c r="F16" s="18" t="s">
        <v>101</v>
      </c>
      <c r="G16" s="18" t="s">
        <v>102</v>
      </c>
      <c r="H16" s="18" t="s">
        <v>103</v>
      </c>
      <c r="I16" s="18" t="s">
        <v>104</v>
      </c>
    </row>
    <row r="17" spans="1:9" x14ac:dyDescent="0.3">
      <c r="A17" t="s">
        <v>92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</row>
    <row r="18" spans="1:9" ht="15" thickBot="1" x14ac:dyDescent="0.35">
      <c r="A18" s="17" t="s">
        <v>105</v>
      </c>
      <c r="B18" s="17">
        <v>0.35085598819512254</v>
      </c>
      <c r="C18" s="17">
        <v>2.0437188630135626E-2</v>
      </c>
      <c r="D18" s="17">
        <v>17.167527028535048</v>
      </c>
      <c r="E18" s="17">
        <v>4.6269367558907868E-41</v>
      </c>
      <c r="F18" s="17">
        <v>0.31055349501865764</v>
      </c>
      <c r="G18" s="17">
        <v>0.39115848137158743</v>
      </c>
      <c r="H18" s="17">
        <v>0.31055349501865764</v>
      </c>
      <c r="I18" s="17">
        <v>0.39115848137158743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7CB3-251A-4223-92B6-1F2F53333F57}">
  <dimension ref="A1:C14"/>
  <sheetViews>
    <sheetView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3" x14ac:dyDescent="0.3">
      <c r="A1" s="14" t="s">
        <v>76</v>
      </c>
      <c r="B1" t="s">
        <v>78</v>
      </c>
      <c r="C1" t="s">
        <v>132</v>
      </c>
    </row>
    <row r="2" spans="1:3" x14ac:dyDescent="0.3">
      <c r="A2" s="15" t="s">
        <v>120</v>
      </c>
      <c r="B2">
        <v>14914.650000000001</v>
      </c>
    </row>
    <row r="3" spans="1:3" x14ac:dyDescent="0.3">
      <c r="A3" s="15" t="s">
        <v>121</v>
      </c>
      <c r="B3">
        <v>14006.359999999999</v>
      </c>
      <c r="C3">
        <f>B3-B2</f>
        <v>-908.29000000000269</v>
      </c>
    </row>
    <row r="4" spans="1:3" x14ac:dyDescent="0.3">
      <c r="A4" s="15" t="s">
        <v>122</v>
      </c>
      <c r="B4">
        <v>17655.219999999998</v>
      </c>
      <c r="C4">
        <f t="shared" ref="C4:C13" si="0">B4-B3</f>
        <v>3648.8599999999988</v>
      </c>
    </row>
    <row r="5" spans="1:3" x14ac:dyDescent="0.3">
      <c r="A5" s="15" t="s">
        <v>123</v>
      </c>
      <c r="B5">
        <v>22242.129999999997</v>
      </c>
      <c r="C5">
        <f t="shared" si="0"/>
        <v>4586.91</v>
      </c>
    </row>
    <row r="6" spans="1:3" x14ac:dyDescent="0.3">
      <c r="A6" s="15" t="s">
        <v>124</v>
      </c>
      <c r="B6">
        <v>18507.339999999997</v>
      </c>
      <c r="C6">
        <f t="shared" si="0"/>
        <v>-3734.7900000000009</v>
      </c>
    </row>
    <row r="7" spans="1:3" x14ac:dyDescent="0.3">
      <c r="A7" s="15" t="s">
        <v>125</v>
      </c>
      <c r="B7">
        <v>20187.509999999998</v>
      </c>
      <c r="C7">
        <f t="shared" si="0"/>
        <v>1680.1700000000019</v>
      </c>
    </row>
    <row r="8" spans="1:3" x14ac:dyDescent="0.3">
      <c r="A8" s="15" t="s">
        <v>126</v>
      </c>
      <c r="B8">
        <v>11609.039999999999</v>
      </c>
      <c r="C8">
        <f t="shared" si="0"/>
        <v>-8578.4699999999993</v>
      </c>
    </row>
    <row r="9" spans="1:3" x14ac:dyDescent="0.3">
      <c r="A9" s="15" t="s">
        <v>127</v>
      </c>
      <c r="B9">
        <v>10091.699999999999</v>
      </c>
      <c r="C9">
        <f t="shared" si="0"/>
        <v>-1517.3400000000001</v>
      </c>
    </row>
    <row r="10" spans="1:3" x14ac:dyDescent="0.3">
      <c r="A10" s="15" t="s">
        <v>128</v>
      </c>
      <c r="B10">
        <v>20533.499999999996</v>
      </c>
      <c r="C10">
        <f t="shared" si="0"/>
        <v>10441.799999999997</v>
      </c>
    </row>
    <row r="11" spans="1:3" x14ac:dyDescent="0.3">
      <c r="A11" s="15" t="s">
        <v>129</v>
      </c>
      <c r="B11">
        <v>14215.240000000002</v>
      </c>
      <c r="C11">
        <f t="shared" si="0"/>
        <v>-6318.2599999999948</v>
      </c>
    </row>
    <row r="12" spans="1:3" x14ac:dyDescent="0.3">
      <c r="A12" s="15" t="s">
        <v>130</v>
      </c>
      <c r="B12">
        <v>20135.030000000002</v>
      </c>
      <c r="C12">
        <f t="shared" si="0"/>
        <v>5919.7900000000009</v>
      </c>
    </row>
    <row r="13" spans="1:3" x14ac:dyDescent="0.3">
      <c r="A13" s="15" t="s">
        <v>131</v>
      </c>
      <c r="B13">
        <v>11120.04</v>
      </c>
      <c r="C13">
        <f t="shared" si="0"/>
        <v>-9014.9900000000016</v>
      </c>
    </row>
    <row r="14" spans="1:3" x14ac:dyDescent="0.3">
      <c r="A14" s="15" t="s">
        <v>77</v>
      </c>
      <c r="B14">
        <v>195217.75999999995</v>
      </c>
    </row>
  </sheetData>
  <conditionalFormatting sqref="C1:C13">
    <cfRule type="iconSet" priority="2">
      <iconSet>
        <cfvo type="percent" val="0"/>
        <cfvo type="percent" val="33"/>
        <cfvo type="percent" val="67"/>
      </iconSet>
    </cfRule>
  </conditionalFormatting>
  <conditionalFormatting sqref="C3:C13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6309-02AA-4644-9233-040F0E95ED76}">
  <dimension ref="A3:G8"/>
  <sheetViews>
    <sheetView workbookViewId="0">
      <selection activeCell="F18" sqref="F1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" bestFit="1" customWidth="1"/>
    <col min="4" max="4" width="10.33203125" bestFit="1" customWidth="1"/>
    <col min="5" max="5" width="9" bestFit="1" customWidth="1"/>
    <col min="6" max="6" width="13.77734375" bestFit="1" customWidth="1"/>
    <col min="7" max="7" width="10.5546875" bestFit="1" customWidth="1"/>
  </cols>
  <sheetData>
    <row r="3" spans="1:7" x14ac:dyDescent="0.3">
      <c r="A3" s="14" t="s">
        <v>78</v>
      </c>
      <c r="B3" s="14" t="s">
        <v>140</v>
      </c>
    </row>
    <row r="4" spans="1:7" x14ac:dyDescent="0.3">
      <c r="A4" s="14" t="s">
        <v>76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77</v>
      </c>
    </row>
    <row r="5" spans="1:7" x14ac:dyDescent="0.3">
      <c r="A5" s="15" t="s">
        <v>18</v>
      </c>
      <c r="B5" s="25">
        <v>11389.09</v>
      </c>
      <c r="C5" s="25">
        <v>2401.4499999999998</v>
      </c>
      <c r="D5" s="25">
        <v>2869.54</v>
      </c>
      <c r="E5" s="25">
        <v>7592.34</v>
      </c>
      <c r="F5" s="25">
        <v>8189.22</v>
      </c>
      <c r="G5" s="25">
        <v>32441.640000000003</v>
      </c>
    </row>
    <row r="6" spans="1:7" x14ac:dyDescent="0.3">
      <c r="A6" s="15" t="s">
        <v>20</v>
      </c>
      <c r="B6" s="25">
        <v>9588.0400000000009</v>
      </c>
      <c r="C6" s="25">
        <v>8393.6299999999992</v>
      </c>
      <c r="D6" s="25">
        <v>11989.07</v>
      </c>
      <c r="E6" s="25">
        <v>7982.73</v>
      </c>
      <c r="F6" s="25">
        <v>2295.3199999999997</v>
      </c>
      <c r="G6" s="25">
        <v>40248.79</v>
      </c>
    </row>
    <row r="7" spans="1:7" x14ac:dyDescent="0.3">
      <c r="A7" s="15" t="s">
        <v>11</v>
      </c>
      <c r="B7" s="25">
        <v>6691.17</v>
      </c>
      <c r="C7" s="25">
        <v>10509.43</v>
      </c>
      <c r="D7" s="25">
        <v>11372.44</v>
      </c>
      <c r="E7" s="25">
        <v>9182.7800000000007</v>
      </c>
      <c r="F7" s="25">
        <v>6327.76</v>
      </c>
      <c r="G7" s="25">
        <v>44083.58</v>
      </c>
    </row>
    <row r="8" spans="1:7" x14ac:dyDescent="0.3">
      <c r="A8" s="15" t="s">
        <v>77</v>
      </c>
      <c r="B8" s="25">
        <v>27668.300000000003</v>
      </c>
      <c r="C8" s="25">
        <v>21304.51</v>
      </c>
      <c r="D8" s="25">
        <v>26231.050000000003</v>
      </c>
      <c r="E8" s="25">
        <v>24757.85</v>
      </c>
      <c r="F8" s="25">
        <v>16812.300000000003</v>
      </c>
      <c r="G8" s="25">
        <v>116774.01000000001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C0E7-341C-41A6-8ACB-24D94B428DDE}">
  <dimension ref="A1:Q201"/>
  <sheetViews>
    <sheetView workbookViewId="0">
      <selection activeCell="D2" sqref="D2"/>
    </sheetView>
  </sheetViews>
  <sheetFormatPr defaultRowHeight="14.4" x14ac:dyDescent="0.3"/>
  <cols>
    <col min="1" max="1" width="13.77734375" customWidth="1"/>
    <col min="2" max="2" width="17" customWidth="1"/>
    <col min="4" max="4" width="18.109375" customWidth="1"/>
    <col min="6" max="7" width="10.21875" customWidth="1"/>
    <col min="8" max="8" width="12.5546875" customWidth="1"/>
    <col min="10" max="10" width="20.109375" customWidth="1"/>
    <col min="13" max="13" width="14.33203125" bestFit="1" customWidth="1"/>
    <col min="14" max="14" width="9.5546875" bestFit="1" customWidth="1"/>
    <col min="16" max="16" width="13.33203125" bestFit="1" customWidth="1"/>
    <col min="17" max="17" width="9.5546875" bestFit="1" customWidth="1"/>
  </cols>
  <sheetData>
    <row r="1" spans="1:17" ht="18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119</v>
      </c>
      <c r="K1" s="7" t="s">
        <v>136</v>
      </c>
      <c r="N1" t="s">
        <v>137</v>
      </c>
      <c r="P1" t="s">
        <v>79</v>
      </c>
      <c r="Q1" t="s">
        <v>80</v>
      </c>
    </row>
    <row r="2" spans="1:17" ht="15" thickBot="1" x14ac:dyDescent="0.35">
      <c r="A2" s="4" t="s">
        <v>9</v>
      </c>
      <c r="B2" s="1" t="s">
        <v>10</v>
      </c>
      <c r="C2" s="1" t="s">
        <v>11</v>
      </c>
      <c r="D2" s="1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5">
        <v>331.55</v>
      </c>
      <c r="J2" s="20" t="str">
        <f t="shared" ref="J2:J33" si="0">TEXT(H2,"mmm")</f>
        <v>Apr</v>
      </c>
      <c r="K2" s="23">
        <f t="shared" ref="K2:K33" si="1">E2*(1-$N$2)</f>
        <v>725.26299999999992</v>
      </c>
      <c r="L2" s="22"/>
      <c r="N2" s="16">
        <v>0.3</v>
      </c>
      <c r="P2" s="16">
        <v>0</v>
      </c>
      <c r="Q2" s="16">
        <f>N4</f>
        <v>136652.43199999994</v>
      </c>
    </row>
    <row r="3" spans="1:17" ht="15" thickBot="1" x14ac:dyDescent="0.35">
      <c r="A3" s="4" t="s">
        <v>13</v>
      </c>
      <c r="B3" s="1" t="s">
        <v>14</v>
      </c>
      <c r="C3" s="1" t="s">
        <v>11</v>
      </c>
      <c r="D3" s="1" t="s">
        <v>15</v>
      </c>
      <c r="E3" s="2">
        <v>1101.28</v>
      </c>
      <c r="F3" s="2">
        <v>3</v>
      </c>
      <c r="G3" s="2">
        <v>0.2</v>
      </c>
      <c r="H3" s="3">
        <v>45393</v>
      </c>
      <c r="I3" s="5">
        <v>440.51</v>
      </c>
      <c r="J3" s="2" t="str">
        <f t="shared" si="0"/>
        <v>Apr</v>
      </c>
      <c r="K3" s="23">
        <f t="shared" si="1"/>
        <v>770.89599999999996</v>
      </c>
      <c r="P3">
        <v>0.2</v>
      </c>
      <c r="Q3">
        <f t="dataTable" ref="Q3:Q6" dt2D="0" dtr="0" r1="N2"/>
        <v>156174.20799999996</v>
      </c>
    </row>
    <row r="4" spans="1:17" ht="15" thickBot="1" x14ac:dyDescent="0.35">
      <c r="A4" s="4" t="s">
        <v>16</v>
      </c>
      <c r="B4" s="1" t="s">
        <v>17</v>
      </c>
      <c r="C4" s="1" t="s">
        <v>18</v>
      </c>
      <c r="D4" s="1" t="s">
        <v>12</v>
      </c>
      <c r="E4" s="2">
        <v>713.34</v>
      </c>
      <c r="F4" s="2">
        <v>17</v>
      </c>
      <c r="G4" s="2">
        <v>0</v>
      </c>
      <c r="H4" s="3">
        <v>45396</v>
      </c>
      <c r="I4" s="5">
        <v>285.33999999999997</v>
      </c>
      <c r="J4" s="2" t="str">
        <f t="shared" si="0"/>
        <v>Apr</v>
      </c>
      <c r="K4" s="23">
        <f t="shared" si="1"/>
        <v>499.33799999999997</v>
      </c>
      <c r="N4" s="16">
        <f>SUM(Table1[profit1])</f>
        <v>136652.43199999994</v>
      </c>
      <c r="P4">
        <v>0.4</v>
      </c>
      <c r="Q4">
        <v>117130.65600000002</v>
      </c>
    </row>
    <row r="5" spans="1:17" ht="15" thickBot="1" x14ac:dyDescent="0.35">
      <c r="A5" s="4" t="s">
        <v>19</v>
      </c>
      <c r="B5" s="1" t="s">
        <v>14</v>
      </c>
      <c r="C5" s="1" t="s">
        <v>20</v>
      </c>
      <c r="D5" s="1" t="s">
        <v>21</v>
      </c>
      <c r="E5" s="2">
        <v>760.93</v>
      </c>
      <c r="F5" s="2">
        <v>4</v>
      </c>
      <c r="G5" s="2">
        <v>0.15</v>
      </c>
      <c r="H5" s="3">
        <v>45396</v>
      </c>
      <c r="I5" s="5">
        <v>161.69999999999999</v>
      </c>
      <c r="J5" s="2" t="str">
        <f t="shared" si="0"/>
        <v>Apr</v>
      </c>
      <c r="K5" s="23">
        <f t="shared" si="1"/>
        <v>532.65099999999995</v>
      </c>
      <c r="P5">
        <v>0.6</v>
      </c>
      <c r="Q5">
        <v>78087.103999999978</v>
      </c>
    </row>
    <row r="6" spans="1:17" ht="15" thickBot="1" x14ac:dyDescent="0.35">
      <c r="A6" s="4" t="s">
        <v>22</v>
      </c>
      <c r="B6" s="1" t="s">
        <v>23</v>
      </c>
      <c r="C6" s="1" t="s">
        <v>24</v>
      </c>
      <c r="D6" s="1" t="s">
        <v>12</v>
      </c>
      <c r="E6" s="2">
        <v>847</v>
      </c>
      <c r="F6" s="2">
        <v>12</v>
      </c>
      <c r="G6" s="2">
        <v>0.2</v>
      </c>
      <c r="H6" s="3">
        <v>45397</v>
      </c>
      <c r="I6" s="5">
        <v>271.04000000000002</v>
      </c>
      <c r="J6" s="2" t="str">
        <f t="shared" si="0"/>
        <v>Apr</v>
      </c>
      <c r="K6" s="23">
        <f t="shared" si="1"/>
        <v>592.9</v>
      </c>
      <c r="P6">
        <v>0.8</v>
      </c>
      <c r="Q6">
        <v>39043.551999999967</v>
      </c>
    </row>
    <row r="7" spans="1:17" ht="15" thickBot="1" x14ac:dyDescent="0.35">
      <c r="A7" s="4" t="s">
        <v>25</v>
      </c>
      <c r="B7" s="1" t="s">
        <v>26</v>
      </c>
      <c r="C7" s="1" t="s">
        <v>24</v>
      </c>
      <c r="D7" s="1" t="s">
        <v>27</v>
      </c>
      <c r="E7" s="2">
        <v>965.64</v>
      </c>
      <c r="F7" s="2">
        <v>8</v>
      </c>
      <c r="G7" s="2">
        <v>0.1</v>
      </c>
      <c r="H7" s="3">
        <v>45398</v>
      </c>
      <c r="I7" s="5">
        <v>304.18</v>
      </c>
      <c r="J7" s="2" t="str">
        <f t="shared" si="0"/>
        <v>Apr</v>
      </c>
      <c r="K7" s="23">
        <f t="shared" si="1"/>
        <v>675.94799999999998</v>
      </c>
      <c r="M7" t="s">
        <v>10</v>
      </c>
    </row>
    <row r="8" spans="1:17" ht="15" thickBot="1" x14ac:dyDescent="0.35">
      <c r="A8" s="4" t="s">
        <v>28</v>
      </c>
      <c r="B8" s="1" t="s">
        <v>29</v>
      </c>
      <c r="C8" s="1" t="s">
        <v>11</v>
      </c>
      <c r="D8" s="1" t="s">
        <v>21</v>
      </c>
      <c r="E8" s="2">
        <v>1317.53</v>
      </c>
      <c r="F8" s="2">
        <v>12</v>
      </c>
      <c r="G8" s="2">
        <v>0.05</v>
      </c>
      <c r="H8" s="3">
        <v>45398</v>
      </c>
      <c r="I8" s="5">
        <v>312.91000000000003</v>
      </c>
      <c r="J8" s="2" t="str">
        <f t="shared" si="0"/>
        <v>Apr</v>
      </c>
      <c r="K8" s="23">
        <f t="shared" si="1"/>
        <v>922.27099999999996</v>
      </c>
      <c r="M8" s="21" t="str">
        <f>INDEX(A:A,MATCH(M7,B:B,0))</f>
        <v>CUST019</v>
      </c>
      <c r="N8" t="s">
        <v>138</v>
      </c>
      <c r="P8" s="21">
        <f ca="1">NOW()</f>
        <v>46242.469034606482</v>
      </c>
    </row>
    <row r="9" spans="1:17" ht="15" thickBot="1" x14ac:dyDescent="0.35">
      <c r="A9" s="4" t="s">
        <v>30</v>
      </c>
      <c r="B9" s="1" t="s">
        <v>31</v>
      </c>
      <c r="C9" s="1" t="s">
        <v>18</v>
      </c>
      <c r="D9" s="1" t="s">
        <v>27</v>
      </c>
      <c r="E9" s="2">
        <v>1074.47</v>
      </c>
      <c r="F9" s="2">
        <v>6</v>
      </c>
      <c r="G9" s="2">
        <v>0.2</v>
      </c>
      <c r="H9" s="3">
        <v>45401</v>
      </c>
      <c r="I9" s="5">
        <v>300.85000000000002</v>
      </c>
      <c r="J9" s="2" t="str">
        <f t="shared" si="0"/>
        <v>Apr</v>
      </c>
      <c r="K9" s="23">
        <f t="shared" si="1"/>
        <v>752.12900000000002</v>
      </c>
      <c r="M9">
        <f>INDEX(E:E,MATCH(M7,B:B,0))</f>
        <v>1036.0899999999999</v>
      </c>
      <c r="N9" t="s">
        <v>139</v>
      </c>
      <c r="P9" s="24">
        <f ca="1">TODAY()</f>
        <v>46242</v>
      </c>
    </row>
    <row r="10" spans="1:17" ht="15" thickBot="1" x14ac:dyDescent="0.35">
      <c r="A10" s="4" t="s">
        <v>32</v>
      </c>
      <c r="B10" s="1" t="s">
        <v>33</v>
      </c>
      <c r="C10" s="1" t="s">
        <v>34</v>
      </c>
      <c r="D10" s="1" t="s">
        <v>12</v>
      </c>
      <c r="E10" s="2">
        <v>501.54</v>
      </c>
      <c r="F10" s="2">
        <v>11</v>
      </c>
      <c r="G10" s="2">
        <v>0.05</v>
      </c>
      <c r="H10" s="3">
        <v>45401</v>
      </c>
      <c r="I10" s="5">
        <v>190.59</v>
      </c>
      <c r="J10" s="2" t="str">
        <f t="shared" si="0"/>
        <v>Apr</v>
      </c>
      <c r="K10" s="23">
        <f t="shared" si="1"/>
        <v>351.07799999999997</v>
      </c>
      <c r="M10" s="16">
        <f>INDEX(K:K,MATCH(M7,B:B,0))</f>
        <v>725.26299999999992</v>
      </c>
      <c r="N10" t="s">
        <v>80</v>
      </c>
    </row>
    <row r="11" spans="1:17" ht="15" thickBot="1" x14ac:dyDescent="0.35">
      <c r="A11" s="4" t="s">
        <v>35</v>
      </c>
      <c r="B11" s="1" t="s">
        <v>36</v>
      </c>
      <c r="C11" s="1" t="s">
        <v>34</v>
      </c>
      <c r="D11" s="1" t="s">
        <v>15</v>
      </c>
      <c r="E11" s="2">
        <v>737.31</v>
      </c>
      <c r="F11" s="2">
        <v>2</v>
      </c>
      <c r="G11" s="2">
        <v>0.05</v>
      </c>
      <c r="H11" s="3">
        <v>45401</v>
      </c>
      <c r="I11" s="5">
        <v>350.22</v>
      </c>
      <c r="J11" s="2" t="str">
        <f t="shared" si="0"/>
        <v>Apr</v>
      </c>
      <c r="K11" s="23">
        <f t="shared" si="1"/>
        <v>516.11699999999996</v>
      </c>
    </row>
    <row r="12" spans="1:17" ht="15" thickBot="1" x14ac:dyDescent="0.35">
      <c r="A12" s="4" t="s">
        <v>37</v>
      </c>
      <c r="B12" s="1" t="s">
        <v>38</v>
      </c>
      <c r="C12" s="1" t="s">
        <v>11</v>
      </c>
      <c r="D12" s="1" t="s">
        <v>39</v>
      </c>
      <c r="E12" s="2">
        <v>1572.82</v>
      </c>
      <c r="F12" s="2">
        <v>6</v>
      </c>
      <c r="G12" s="2">
        <v>0.05</v>
      </c>
      <c r="H12" s="3">
        <v>45402</v>
      </c>
      <c r="I12" s="5">
        <v>672.38</v>
      </c>
      <c r="J12" s="2" t="str">
        <f t="shared" si="0"/>
        <v>Apr</v>
      </c>
      <c r="K12" s="23">
        <f t="shared" si="1"/>
        <v>1100.9739999999999</v>
      </c>
    </row>
    <row r="13" spans="1:17" ht="15" thickBot="1" x14ac:dyDescent="0.35">
      <c r="A13" s="4" t="s">
        <v>37</v>
      </c>
      <c r="B13" s="1" t="s">
        <v>36</v>
      </c>
      <c r="C13" s="1" t="s">
        <v>34</v>
      </c>
      <c r="D13" s="1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5">
        <v>456.66</v>
      </c>
      <c r="J13" s="2" t="str">
        <f t="shared" si="0"/>
        <v>Apr</v>
      </c>
      <c r="K13" s="23">
        <f t="shared" si="1"/>
        <v>940.19100000000003</v>
      </c>
    </row>
    <row r="14" spans="1:17" ht="15" thickBot="1" x14ac:dyDescent="0.35">
      <c r="A14" s="4" t="s">
        <v>25</v>
      </c>
      <c r="B14" s="1" t="s">
        <v>26</v>
      </c>
      <c r="C14" s="1" t="s">
        <v>34</v>
      </c>
      <c r="D14" s="1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5">
        <v>452.8</v>
      </c>
      <c r="J14" s="2" t="str">
        <f t="shared" si="0"/>
        <v>Apr</v>
      </c>
      <c r="K14" s="23">
        <f t="shared" si="1"/>
        <v>834.10599999999988</v>
      </c>
    </row>
    <row r="15" spans="1:17" ht="15" thickBot="1" x14ac:dyDescent="0.35">
      <c r="A15" s="4" t="s">
        <v>40</v>
      </c>
      <c r="B15" s="1" t="s">
        <v>14</v>
      </c>
      <c r="C15" s="1" t="s">
        <v>11</v>
      </c>
      <c r="D15" s="1" t="s">
        <v>27</v>
      </c>
      <c r="E15" s="2">
        <v>822.28</v>
      </c>
      <c r="F15" s="2">
        <v>7</v>
      </c>
      <c r="G15" s="2">
        <v>0.05</v>
      </c>
      <c r="H15" s="3">
        <v>45406</v>
      </c>
      <c r="I15" s="5">
        <v>273.41000000000003</v>
      </c>
      <c r="J15" s="2" t="str">
        <f t="shared" si="0"/>
        <v>Apr</v>
      </c>
      <c r="K15" s="23">
        <f t="shared" si="1"/>
        <v>575.59599999999989</v>
      </c>
    </row>
    <row r="16" spans="1:17" ht="15" thickBot="1" x14ac:dyDescent="0.35">
      <c r="A16" s="4" t="s">
        <v>41</v>
      </c>
      <c r="B16" s="1" t="s">
        <v>42</v>
      </c>
      <c r="C16" s="1" t="s">
        <v>24</v>
      </c>
      <c r="D16" s="1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5">
        <v>155.19999999999999</v>
      </c>
      <c r="J16" s="2" t="str">
        <f t="shared" si="0"/>
        <v>Apr</v>
      </c>
      <c r="K16" s="23">
        <f t="shared" si="1"/>
        <v>365.16899999999993</v>
      </c>
    </row>
    <row r="17" spans="1:11" ht="15" thickBot="1" x14ac:dyDescent="0.35">
      <c r="A17" s="4" t="s">
        <v>19</v>
      </c>
      <c r="B17" s="1" t="s">
        <v>43</v>
      </c>
      <c r="C17" s="1" t="s">
        <v>20</v>
      </c>
      <c r="D17" s="1" t="s">
        <v>21</v>
      </c>
      <c r="E17" s="2">
        <v>1502.93</v>
      </c>
      <c r="F17" s="2">
        <v>14</v>
      </c>
      <c r="G17" s="2">
        <v>0.2</v>
      </c>
      <c r="H17" s="3">
        <v>45410</v>
      </c>
      <c r="I17" s="5">
        <v>300.58999999999997</v>
      </c>
      <c r="J17" s="2" t="str">
        <f t="shared" si="0"/>
        <v>Apr</v>
      </c>
      <c r="K17" s="23">
        <f t="shared" si="1"/>
        <v>1052.0509999999999</v>
      </c>
    </row>
    <row r="18" spans="1:11" ht="15" thickBot="1" x14ac:dyDescent="0.35">
      <c r="A18" s="4" t="s">
        <v>44</v>
      </c>
      <c r="B18" s="1" t="s">
        <v>14</v>
      </c>
      <c r="C18" s="1" t="s">
        <v>20</v>
      </c>
      <c r="D18" s="1" t="s">
        <v>12</v>
      </c>
      <c r="E18" s="2">
        <v>877.58</v>
      </c>
      <c r="F18" s="2">
        <v>10</v>
      </c>
      <c r="G18" s="2">
        <v>0.15</v>
      </c>
      <c r="H18" s="3">
        <v>45411</v>
      </c>
      <c r="I18" s="5">
        <v>298.38</v>
      </c>
      <c r="J18" s="2" t="str">
        <f t="shared" si="0"/>
        <v>Apr</v>
      </c>
      <c r="K18" s="23">
        <f t="shared" si="1"/>
        <v>614.30600000000004</v>
      </c>
    </row>
    <row r="19" spans="1:11" ht="15" thickBot="1" x14ac:dyDescent="0.35">
      <c r="A19" s="4" t="s">
        <v>28</v>
      </c>
      <c r="B19" s="1" t="s">
        <v>45</v>
      </c>
      <c r="C19" s="1" t="s">
        <v>11</v>
      </c>
      <c r="D19" s="1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5">
        <v>203.74</v>
      </c>
      <c r="J19" s="2" t="str">
        <f t="shared" si="0"/>
        <v>Apr</v>
      </c>
      <c r="K19" s="23">
        <f t="shared" si="1"/>
        <v>445.69</v>
      </c>
    </row>
    <row r="20" spans="1:11" ht="15" thickBot="1" x14ac:dyDescent="0.35">
      <c r="A20" s="4" t="s">
        <v>46</v>
      </c>
      <c r="B20" s="1" t="s">
        <v>47</v>
      </c>
      <c r="C20" s="1" t="s">
        <v>11</v>
      </c>
      <c r="D20" s="1" t="s">
        <v>12</v>
      </c>
      <c r="E20" s="2">
        <v>1506.14</v>
      </c>
      <c r="F20" s="2">
        <v>13</v>
      </c>
      <c r="G20" s="2">
        <v>0.2</v>
      </c>
      <c r="H20" s="3">
        <v>45412</v>
      </c>
      <c r="I20" s="5">
        <v>481.96</v>
      </c>
      <c r="J20" s="2" t="str">
        <f t="shared" si="0"/>
        <v>Apr</v>
      </c>
      <c r="K20" s="23">
        <f t="shared" si="1"/>
        <v>1054.298</v>
      </c>
    </row>
    <row r="21" spans="1:11" ht="15" thickBot="1" x14ac:dyDescent="0.35">
      <c r="A21" s="4" t="s">
        <v>30</v>
      </c>
      <c r="B21" s="1" t="s">
        <v>31</v>
      </c>
      <c r="C21" s="1" t="s">
        <v>34</v>
      </c>
      <c r="D21" s="1" t="s">
        <v>21</v>
      </c>
      <c r="E21" s="2">
        <v>645.02</v>
      </c>
      <c r="F21" s="2">
        <v>4</v>
      </c>
      <c r="G21" s="2">
        <v>0</v>
      </c>
      <c r="H21" s="3">
        <v>45414</v>
      </c>
      <c r="I21" s="5">
        <v>161.26</v>
      </c>
      <c r="J21" s="2" t="str">
        <f t="shared" si="0"/>
        <v>May</v>
      </c>
      <c r="K21" s="23">
        <f t="shared" si="1"/>
        <v>451.51399999999995</v>
      </c>
    </row>
    <row r="22" spans="1:11" ht="15" thickBot="1" x14ac:dyDescent="0.35">
      <c r="A22" s="4" t="s">
        <v>25</v>
      </c>
      <c r="B22" s="1" t="s">
        <v>48</v>
      </c>
      <c r="C22" s="1" t="s">
        <v>20</v>
      </c>
      <c r="D22" s="1" t="s">
        <v>15</v>
      </c>
      <c r="E22" s="2">
        <v>953.3</v>
      </c>
      <c r="F22" s="2">
        <v>11</v>
      </c>
      <c r="G22" s="2">
        <v>0</v>
      </c>
      <c r="H22" s="3">
        <v>45415</v>
      </c>
      <c r="I22" s="5">
        <v>476.65</v>
      </c>
      <c r="J22" s="2" t="str">
        <f t="shared" si="0"/>
        <v>May</v>
      </c>
      <c r="K22" s="23">
        <f t="shared" si="1"/>
        <v>667.31</v>
      </c>
    </row>
    <row r="23" spans="1:11" ht="15" thickBot="1" x14ac:dyDescent="0.35">
      <c r="A23" s="4" t="s">
        <v>49</v>
      </c>
      <c r="B23" s="1" t="s">
        <v>14</v>
      </c>
      <c r="C23" s="1" t="s">
        <v>24</v>
      </c>
      <c r="D23" s="1" t="s">
        <v>21</v>
      </c>
      <c r="E23" s="2">
        <v>388.56</v>
      </c>
      <c r="F23" s="2">
        <v>14</v>
      </c>
      <c r="G23" s="2">
        <v>0.15</v>
      </c>
      <c r="H23" s="3">
        <v>45416</v>
      </c>
      <c r="I23" s="5">
        <v>82.57</v>
      </c>
      <c r="J23" s="2" t="str">
        <f t="shared" si="0"/>
        <v>May</v>
      </c>
      <c r="K23" s="23">
        <f t="shared" si="1"/>
        <v>271.99199999999996</v>
      </c>
    </row>
    <row r="24" spans="1:11" ht="15" thickBot="1" x14ac:dyDescent="0.35">
      <c r="A24" s="4" t="s">
        <v>9</v>
      </c>
      <c r="B24" s="1" t="s">
        <v>31</v>
      </c>
      <c r="C24" s="1" t="s">
        <v>11</v>
      </c>
      <c r="D24" s="1" t="s">
        <v>12</v>
      </c>
      <c r="E24" s="2">
        <v>743.17</v>
      </c>
      <c r="F24" s="2">
        <v>9</v>
      </c>
      <c r="G24" s="2">
        <v>0</v>
      </c>
      <c r="H24" s="3">
        <v>45416</v>
      </c>
      <c r="I24" s="5">
        <v>297.27</v>
      </c>
      <c r="J24" s="2" t="str">
        <f t="shared" si="0"/>
        <v>May</v>
      </c>
      <c r="K24" s="23">
        <f t="shared" si="1"/>
        <v>520.21899999999994</v>
      </c>
    </row>
    <row r="25" spans="1:11" ht="15" thickBot="1" x14ac:dyDescent="0.35">
      <c r="A25" s="4" t="s">
        <v>40</v>
      </c>
      <c r="B25" s="1" t="s">
        <v>31</v>
      </c>
      <c r="C25" s="1" t="s">
        <v>34</v>
      </c>
      <c r="D25" s="1" t="s">
        <v>21</v>
      </c>
      <c r="E25" s="2">
        <v>706.37</v>
      </c>
      <c r="F25" s="2">
        <v>6</v>
      </c>
      <c r="G25" s="2">
        <v>0</v>
      </c>
      <c r="H25" s="3">
        <v>45416</v>
      </c>
      <c r="I25" s="5">
        <v>176.59</v>
      </c>
      <c r="J25" s="2" t="str">
        <f t="shared" si="0"/>
        <v>May</v>
      </c>
      <c r="K25" s="23">
        <f t="shared" si="1"/>
        <v>494.45899999999995</v>
      </c>
    </row>
    <row r="26" spans="1:11" ht="15" thickBot="1" x14ac:dyDescent="0.35">
      <c r="A26" s="4" t="s">
        <v>13</v>
      </c>
      <c r="B26" s="1" t="s">
        <v>31</v>
      </c>
      <c r="C26" s="1" t="s">
        <v>34</v>
      </c>
      <c r="D26" s="1" t="s">
        <v>39</v>
      </c>
      <c r="E26" s="2">
        <v>925.31</v>
      </c>
      <c r="F26" s="2">
        <v>8</v>
      </c>
      <c r="G26" s="2">
        <v>0.1</v>
      </c>
      <c r="H26" s="3">
        <v>45418</v>
      </c>
      <c r="I26" s="5">
        <v>374.75</v>
      </c>
      <c r="J26" s="2" t="str">
        <f t="shared" si="0"/>
        <v>May</v>
      </c>
      <c r="K26" s="23">
        <f t="shared" si="1"/>
        <v>647.71699999999987</v>
      </c>
    </row>
    <row r="27" spans="1:11" ht="15" thickBot="1" x14ac:dyDescent="0.35">
      <c r="A27" s="4" t="s">
        <v>35</v>
      </c>
      <c r="B27" s="1" t="s">
        <v>50</v>
      </c>
      <c r="C27" s="1" t="s">
        <v>20</v>
      </c>
      <c r="D27" s="1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5">
        <v>293.27999999999997</v>
      </c>
      <c r="J27" s="2" t="str">
        <f t="shared" si="0"/>
        <v>May</v>
      </c>
      <c r="K27" s="23">
        <f t="shared" si="1"/>
        <v>821.18399999999986</v>
      </c>
    </row>
    <row r="28" spans="1:11" ht="15" thickBot="1" x14ac:dyDescent="0.35">
      <c r="A28" s="4" t="s">
        <v>22</v>
      </c>
      <c r="B28" s="1" t="s">
        <v>51</v>
      </c>
      <c r="C28" s="1" t="s">
        <v>24</v>
      </c>
      <c r="D28" s="1" t="s">
        <v>27</v>
      </c>
      <c r="E28" s="2">
        <v>675.54</v>
      </c>
      <c r="F28" s="2">
        <v>17</v>
      </c>
      <c r="G28" s="2">
        <v>0</v>
      </c>
      <c r="H28" s="3">
        <v>45420</v>
      </c>
      <c r="I28" s="5">
        <v>236.44</v>
      </c>
      <c r="J28" s="2" t="str">
        <f t="shared" si="0"/>
        <v>May</v>
      </c>
      <c r="K28" s="23">
        <f t="shared" si="1"/>
        <v>472.87799999999993</v>
      </c>
    </row>
    <row r="29" spans="1:11" ht="15" thickBot="1" x14ac:dyDescent="0.35">
      <c r="A29" s="4" t="s">
        <v>25</v>
      </c>
      <c r="B29" s="1" t="s">
        <v>14</v>
      </c>
      <c r="C29" s="1" t="s">
        <v>34</v>
      </c>
      <c r="D29" s="1" t="s">
        <v>12</v>
      </c>
      <c r="E29" s="2">
        <v>939.09</v>
      </c>
      <c r="F29" s="2">
        <v>2</v>
      </c>
      <c r="G29" s="2">
        <v>0.05</v>
      </c>
      <c r="H29" s="3">
        <v>45422</v>
      </c>
      <c r="I29" s="5">
        <v>356.85</v>
      </c>
      <c r="J29" s="2" t="str">
        <f t="shared" si="0"/>
        <v>May</v>
      </c>
      <c r="K29" s="23">
        <f t="shared" si="1"/>
        <v>657.36299999999994</v>
      </c>
    </row>
    <row r="30" spans="1:11" ht="15" thickBot="1" x14ac:dyDescent="0.35">
      <c r="A30" s="4" t="s">
        <v>52</v>
      </c>
      <c r="B30" s="1" t="s">
        <v>53</v>
      </c>
      <c r="C30" s="1" t="s">
        <v>18</v>
      </c>
      <c r="D30" s="1" t="s">
        <v>39</v>
      </c>
      <c r="E30" s="2">
        <v>983.34</v>
      </c>
      <c r="F30" s="2">
        <v>19</v>
      </c>
      <c r="G30" s="2">
        <v>0.1</v>
      </c>
      <c r="H30" s="3">
        <v>45426</v>
      </c>
      <c r="I30" s="5">
        <v>398.25</v>
      </c>
      <c r="J30" s="2" t="str">
        <f t="shared" si="0"/>
        <v>May</v>
      </c>
      <c r="K30" s="23">
        <f t="shared" si="1"/>
        <v>688.33799999999997</v>
      </c>
    </row>
    <row r="31" spans="1:11" ht="15" thickBot="1" x14ac:dyDescent="0.35">
      <c r="A31" s="4" t="s">
        <v>52</v>
      </c>
      <c r="B31" s="1" t="s">
        <v>23</v>
      </c>
      <c r="C31" s="1" t="s">
        <v>20</v>
      </c>
      <c r="D31" s="1" t="s">
        <v>21</v>
      </c>
      <c r="E31" s="2">
        <v>801.21</v>
      </c>
      <c r="F31" s="2">
        <v>3</v>
      </c>
      <c r="G31" s="2">
        <v>0.2</v>
      </c>
      <c r="H31" s="3">
        <v>45426</v>
      </c>
      <c r="I31" s="5">
        <v>160.24</v>
      </c>
      <c r="J31" s="2" t="str">
        <f t="shared" si="0"/>
        <v>May</v>
      </c>
      <c r="K31" s="23">
        <f t="shared" si="1"/>
        <v>560.84699999999998</v>
      </c>
    </row>
    <row r="32" spans="1:11" ht="15" thickBot="1" x14ac:dyDescent="0.35">
      <c r="A32" s="4" t="s">
        <v>54</v>
      </c>
      <c r="B32" s="1" t="s">
        <v>55</v>
      </c>
      <c r="C32" s="1" t="s">
        <v>24</v>
      </c>
      <c r="D32" s="1" t="s">
        <v>21</v>
      </c>
      <c r="E32" s="2">
        <v>1450.71</v>
      </c>
      <c r="F32" s="2">
        <v>5</v>
      </c>
      <c r="G32" s="2">
        <v>0.1</v>
      </c>
      <c r="H32" s="3">
        <v>45427</v>
      </c>
      <c r="I32" s="5">
        <v>326.41000000000003</v>
      </c>
      <c r="J32" s="2" t="str">
        <f t="shared" si="0"/>
        <v>May</v>
      </c>
      <c r="K32" s="23">
        <f t="shared" si="1"/>
        <v>1015.497</v>
      </c>
    </row>
    <row r="33" spans="1:11" ht="15" thickBot="1" x14ac:dyDescent="0.35">
      <c r="A33" s="4" t="s">
        <v>49</v>
      </c>
      <c r="B33" s="1" t="s">
        <v>56</v>
      </c>
      <c r="C33" s="1" t="s">
        <v>34</v>
      </c>
      <c r="D33" s="1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5">
        <v>388.82</v>
      </c>
      <c r="J33" s="2" t="str">
        <f t="shared" si="0"/>
        <v>May</v>
      </c>
      <c r="K33" s="23">
        <f t="shared" si="1"/>
        <v>716.24699999999996</v>
      </c>
    </row>
    <row r="34" spans="1:11" ht="15" thickBot="1" x14ac:dyDescent="0.35">
      <c r="A34" s="4" t="s">
        <v>28</v>
      </c>
      <c r="B34" s="1" t="s">
        <v>47</v>
      </c>
      <c r="C34" s="1" t="s">
        <v>11</v>
      </c>
      <c r="D34" s="1" t="s">
        <v>27</v>
      </c>
      <c r="E34" s="2">
        <v>853.72</v>
      </c>
      <c r="F34" s="2">
        <v>5</v>
      </c>
      <c r="G34" s="2">
        <v>0.15</v>
      </c>
      <c r="H34" s="3">
        <v>45428</v>
      </c>
      <c r="I34" s="5">
        <v>253.98</v>
      </c>
      <c r="J34" s="2" t="str">
        <f t="shared" ref="J34:J65" si="2">TEXT(H34,"mmm")</f>
        <v>May</v>
      </c>
      <c r="K34" s="23">
        <f t="shared" ref="K34:K65" si="3">E34*(1-$N$2)</f>
        <v>597.60399999999993</v>
      </c>
    </row>
    <row r="35" spans="1:11" ht="15" thickBot="1" x14ac:dyDescent="0.35">
      <c r="A35" s="4" t="s">
        <v>57</v>
      </c>
      <c r="B35" s="1" t="s">
        <v>43</v>
      </c>
      <c r="C35" s="1" t="s">
        <v>20</v>
      </c>
      <c r="D35" s="1" t="s">
        <v>21</v>
      </c>
      <c r="E35" s="2">
        <v>967.89</v>
      </c>
      <c r="F35" s="2">
        <v>10</v>
      </c>
      <c r="G35" s="2">
        <v>0.1</v>
      </c>
      <c r="H35" s="3">
        <v>45429</v>
      </c>
      <c r="I35" s="5">
        <v>217.78</v>
      </c>
      <c r="J35" s="2" t="str">
        <f t="shared" si="2"/>
        <v>May</v>
      </c>
      <c r="K35" s="23">
        <f t="shared" si="3"/>
        <v>677.52299999999991</v>
      </c>
    </row>
    <row r="36" spans="1:11" ht="15" thickBot="1" x14ac:dyDescent="0.35">
      <c r="A36" s="4" t="s">
        <v>58</v>
      </c>
      <c r="B36" s="1" t="s">
        <v>53</v>
      </c>
      <c r="C36" s="1" t="s">
        <v>24</v>
      </c>
      <c r="D36" s="1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5">
        <v>513.38</v>
      </c>
      <c r="J36" s="2" t="str">
        <f t="shared" si="2"/>
        <v>May</v>
      </c>
      <c r="K36" s="23">
        <f t="shared" si="3"/>
        <v>840.63</v>
      </c>
    </row>
    <row r="37" spans="1:11" ht="15" thickBot="1" x14ac:dyDescent="0.35">
      <c r="A37" s="4" t="s">
        <v>13</v>
      </c>
      <c r="B37" s="1" t="s">
        <v>26</v>
      </c>
      <c r="C37" s="1" t="s">
        <v>11</v>
      </c>
      <c r="D37" s="1" t="s">
        <v>12</v>
      </c>
      <c r="E37" s="2">
        <v>472.38</v>
      </c>
      <c r="F37" s="2">
        <v>12</v>
      </c>
      <c r="G37" s="2">
        <v>0.2</v>
      </c>
      <c r="H37" s="3">
        <v>45429</v>
      </c>
      <c r="I37" s="5">
        <v>151.16</v>
      </c>
      <c r="J37" s="2" t="str">
        <f t="shared" si="2"/>
        <v>May</v>
      </c>
      <c r="K37" s="23">
        <f t="shared" si="3"/>
        <v>330.666</v>
      </c>
    </row>
    <row r="38" spans="1:11" ht="15" thickBot="1" x14ac:dyDescent="0.35">
      <c r="A38" s="4" t="s">
        <v>9</v>
      </c>
      <c r="B38" s="1" t="s">
        <v>55</v>
      </c>
      <c r="C38" s="1" t="s">
        <v>18</v>
      </c>
      <c r="D38" s="1" t="s">
        <v>39</v>
      </c>
      <c r="E38" s="2">
        <v>840.92</v>
      </c>
      <c r="F38" s="2">
        <v>9</v>
      </c>
      <c r="G38" s="2">
        <v>0.05</v>
      </c>
      <c r="H38" s="3">
        <v>45429</v>
      </c>
      <c r="I38" s="5">
        <v>359.49</v>
      </c>
      <c r="J38" s="2" t="str">
        <f t="shared" si="2"/>
        <v>May</v>
      </c>
      <c r="K38" s="23">
        <f t="shared" si="3"/>
        <v>588.64399999999989</v>
      </c>
    </row>
    <row r="39" spans="1:11" ht="15" thickBot="1" x14ac:dyDescent="0.35">
      <c r="A39" s="4" t="s">
        <v>52</v>
      </c>
      <c r="B39" s="1" t="s">
        <v>48</v>
      </c>
      <c r="C39" s="1" t="s">
        <v>34</v>
      </c>
      <c r="D39" s="1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5">
        <v>468.84</v>
      </c>
      <c r="J39" s="2" t="str">
        <f t="shared" si="2"/>
        <v>May</v>
      </c>
      <c r="K39" s="23">
        <f t="shared" si="3"/>
        <v>987.04199999999992</v>
      </c>
    </row>
    <row r="40" spans="1:11" ht="15" thickBot="1" x14ac:dyDescent="0.35">
      <c r="A40" s="4" t="s">
        <v>44</v>
      </c>
      <c r="B40" s="1" t="s">
        <v>59</v>
      </c>
      <c r="C40" s="1" t="s">
        <v>34</v>
      </c>
      <c r="D40" s="1" t="s">
        <v>27</v>
      </c>
      <c r="E40" s="2">
        <v>773.09</v>
      </c>
      <c r="F40" s="2">
        <v>13</v>
      </c>
      <c r="G40" s="2">
        <v>0.15</v>
      </c>
      <c r="H40" s="3">
        <v>45434</v>
      </c>
      <c r="I40" s="5">
        <v>229.99</v>
      </c>
      <c r="J40" s="2" t="str">
        <f t="shared" si="2"/>
        <v>May</v>
      </c>
      <c r="K40" s="23">
        <f t="shared" si="3"/>
        <v>541.16300000000001</v>
      </c>
    </row>
    <row r="41" spans="1:11" ht="15" thickBot="1" x14ac:dyDescent="0.35">
      <c r="A41" s="4" t="s">
        <v>60</v>
      </c>
      <c r="B41" s="1" t="s">
        <v>61</v>
      </c>
      <c r="C41" s="1" t="s">
        <v>18</v>
      </c>
      <c r="D41" s="1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5">
        <v>197.35</v>
      </c>
      <c r="J41" s="2" t="str">
        <f t="shared" si="2"/>
        <v>May</v>
      </c>
      <c r="K41" s="23">
        <f t="shared" si="3"/>
        <v>406.30099999999993</v>
      </c>
    </row>
    <row r="42" spans="1:11" ht="15" thickBot="1" x14ac:dyDescent="0.35">
      <c r="A42" s="4" t="s">
        <v>19</v>
      </c>
      <c r="B42" s="1" t="s">
        <v>42</v>
      </c>
      <c r="C42" s="1" t="s">
        <v>20</v>
      </c>
      <c r="D42" s="1" t="s">
        <v>12</v>
      </c>
      <c r="E42" s="2">
        <v>1151.21</v>
      </c>
      <c r="F42" s="2">
        <v>15</v>
      </c>
      <c r="G42" s="2">
        <v>0.1</v>
      </c>
      <c r="H42" s="3">
        <v>45445</v>
      </c>
      <c r="I42" s="5">
        <v>414.44</v>
      </c>
      <c r="J42" s="2" t="str">
        <f t="shared" si="2"/>
        <v>Jun</v>
      </c>
      <c r="K42" s="23">
        <f t="shared" si="3"/>
        <v>805.84699999999998</v>
      </c>
    </row>
    <row r="43" spans="1:11" ht="15" thickBot="1" x14ac:dyDescent="0.35">
      <c r="A43" s="4" t="s">
        <v>52</v>
      </c>
      <c r="B43" s="1" t="s">
        <v>23</v>
      </c>
      <c r="C43" s="1" t="s">
        <v>34</v>
      </c>
      <c r="D43" s="1" t="s">
        <v>39</v>
      </c>
      <c r="E43" s="2">
        <v>1025.98</v>
      </c>
      <c r="F43" s="2">
        <v>5</v>
      </c>
      <c r="G43" s="2">
        <v>0.2</v>
      </c>
      <c r="H43" s="3">
        <v>45447</v>
      </c>
      <c r="I43" s="5">
        <v>369.35</v>
      </c>
      <c r="J43" s="2" t="str">
        <f t="shared" si="2"/>
        <v>Jun</v>
      </c>
      <c r="K43" s="23">
        <f t="shared" si="3"/>
        <v>718.18599999999992</v>
      </c>
    </row>
    <row r="44" spans="1:11" ht="15" thickBot="1" x14ac:dyDescent="0.35">
      <c r="A44" s="4" t="s">
        <v>40</v>
      </c>
      <c r="B44" s="1" t="s">
        <v>56</v>
      </c>
      <c r="C44" s="1" t="s">
        <v>18</v>
      </c>
      <c r="D44" s="1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5">
        <v>212.83</v>
      </c>
      <c r="J44" s="2" t="str">
        <f t="shared" si="2"/>
        <v>Jun</v>
      </c>
      <c r="K44" s="23">
        <f t="shared" si="3"/>
        <v>389.49399999999997</v>
      </c>
    </row>
    <row r="45" spans="1:11" ht="15" thickBot="1" x14ac:dyDescent="0.35">
      <c r="A45" s="4" t="s">
        <v>57</v>
      </c>
      <c r="B45" s="1" t="s">
        <v>23</v>
      </c>
      <c r="C45" s="1" t="s">
        <v>34</v>
      </c>
      <c r="D45" s="1" t="s">
        <v>12</v>
      </c>
      <c r="E45" s="2">
        <v>840.85</v>
      </c>
      <c r="F45" s="2">
        <v>19</v>
      </c>
      <c r="G45" s="2">
        <v>0.1</v>
      </c>
      <c r="H45" s="3">
        <v>45448</v>
      </c>
      <c r="I45" s="5">
        <v>302.70999999999998</v>
      </c>
      <c r="J45" s="2" t="str">
        <f t="shared" si="2"/>
        <v>Jun</v>
      </c>
      <c r="K45" s="23">
        <f t="shared" si="3"/>
        <v>588.59500000000003</v>
      </c>
    </row>
    <row r="46" spans="1:11" ht="15" thickBot="1" x14ac:dyDescent="0.35">
      <c r="A46" s="4" t="s">
        <v>30</v>
      </c>
      <c r="B46" s="1" t="s">
        <v>61</v>
      </c>
      <c r="C46" s="1" t="s">
        <v>24</v>
      </c>
      <c r="D46" s="1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5">
        <v>365.11</v>
      </c>
      <c r="J46" s="2" t="str">
        <f t="shared" si="2"/>
        <v>Jun</v>
      </c>
      <c r="K46" s="23">
        <f t="shared" si="3"/>
        <v>859.07499999999993</v>
      </c>
    </row>
    <row r="47" spans="1:11" ht="15" thickBot="1" x14ac:dyDescent="0.35">
      <c r="A47" s="4" t="s">
        <v>16</v>
      </c>
      <c r="B47" s="1" t="s">
        <v>62</v>
      </c>
      <c r="C47" s="1" t="s">
        <v>34</v>
      </c>
      <c r="D47" s="1" t="s">
        <v>21</v>
      </c>
      <c r="E47" s="2">
        <v>856.7</v>
      </c>
      <c r="F47" s="2">
        <v>2</v>
      </c>
      <c r="G47" s="2">
        <v>0</v>
      </c>
      <c r="H47" s="3">
        <v>45449</v>
      </c>
      <c r="I47" s="5">
        <v>214.18</v>
      </c>
      <c r="J47" s="2" t="str">
        <f t="shared" si="2"/>
        <v>Jun</v>
      </c>
      <c r="K47" s="23">
        <f t="shared" si="3"/>
        <v>599.68999999999994</v>
      </c>
    </row>
    <row r="48" spans="1:11" ht="15" thickBot="1" x14ac:dyDescent="0.35">
      <c r="A48" s="4" t="s">
        <v>54</v>
      </c>
      <c r="B48" s="1" t="s">
        <v>56</v>
      </c>
      <c r="C48" s="1" t="s">
        <v>34</v>
      </c>
      <c r="D48" s="1" t="s">
        <v>39</v>
      </c>
      <c r="E48" s="2">
        <v>1225.42</v>
      </c>
      <c r="F48" s="2">
        <v>8</v>
      </c>
      <c r="G48" s="2">
        <v>0.15</v>
      </c>
      <c r="H48" s="3">
        <v>45449</v>
      </c>
      <c r="I48" s="5">
        <v>468.72</v>
      </c>
      <c r="J48" s="2" t="str">
        <f t="shared" si="2"/>
        <v>Jun</v>
      </c>
      <c r="K48" s="23">
        <f t="shared" si="3"/>
        <v>857.79399999999998</v>
      </c>
    </row>
    <row r="49" spans="1:11" ht="15" thickBot="1" x14ac:dyDescent="0.35">
      <c r="A49" s="4" t="s">
        <v>63</v>
      </c>
      <c r="B49" s="1" t="s">
        <v>31</v>
      </c>
      <c r="C49" s="1" t="s">
        <v>24</v>
      </c>
      <c r="D49" s="1" t="s">
        <v>39</v>
      </c>
      <c r="E49" s="2">
        <v>1001.57</v>
      </c>
      <c r="F49" s="2">
        <v>12</v>
      </c>
      <c r="G49" s="2">
        <v>0</v>
      </c>
      <c r="H49" s="3">
        <v>45450</v>
      </c>
      <c r="I49" s="5">
        <v>450.71</v>
      </c>
      <c r="J49" s="2" t="str">
        <f t="shared" si="2"/>
        <v>Jun</v>
      </c>
      <c r="K49" s="23">
        <f t="shared" si="3"/>
        <v>701.09900000000005</v>
      </c>
    </row>
    <row r="50" spans="1:11" ht="15" thickBot="1" x14ac:dyDescent="0.35">
      <c r="A50" s="4" t="s">
        <v>57</v>
      </c>
      <c r="B50" s="1" t="s">
        <v>26</v>
      </c>
      <c r="C50" s="1" t="s">
        <v>18</v>
      </c>
      <c r="D50" s="1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5">
        <v>332.32</v>
      </c>
      <c r="J50" s="2" t="str">
        <f t="shared" si="2"/>
        <v>Jun</v>
      </c>
      <c r="K50" s="23">
        <f t="shared" si="3"/>
        <v>830.79499999999985</v>
      </c>
    </row>
    <row r="51" spans="1:11" ht="15" thickBot="1" x14ac:dyDescent="0.35">
      <c r="A51" s="4" t="s">
        <v>44</v>
      </c>
      <c r="B51" s="1" t="s">
        <v>51</v>
      </c>
      <c r="C51" s="1" t="s">
        <v>20</v>
      </c>
      <c r="D51" s="1" t="s">
        <v>21</v>
      </c>
      <c r="E51" s="2">
        <v>775.45</v>
      </c>
      <c r="F51" s="2">
        <v>6</v>
      </c>
      <c r="G51" s="2">
        <v>0.1</v>
      </c>
      <c r="H51" s="3">
        <v>45457</v>
      </c>
      <c r="I51" s="5">
        <v>174.48</v>
      </c>
      <c r="J51" s="2" t="str">
        <f t="shared" si="2"/>
        <v>Jun</v>
      </c>
      <c r="K51" s="23">
        <f t="shared" si="3"/>
        <v>542.81499999999994</v>
      </c>
    </row>
    <row r="52" spans="1:11" ht="15" thickBot="1" x14ac:dyDescent="0.35">
      <c r="A52" s="4" t="s">
        <v>25</v>
      </c>
      <c r="B52" s="1" t="s">
        <v>33</v>
      </c>
      <c r="C52" s="1" t="s">
        <v>20</v>
      </c>
      <c r="D52" s="1" t="s">
        <v>21</v>
      </c>
      <c r="E52" s="2">
        <v>1021.47</v>
      </c>
      <c r="F52" s="2">
        <v>6</v>
      </c>
      <c r="G52" s="2">
        <v>0.05</v>
      </c>
      <c r="H52" s="3">
        <v>45461</v>
      </c>
      <c r="I52" s="5">
        <v>242.6</v>
      </c>
      <c r="J52" s="2" t="str">
        <f t="shared" si="2"/>
        <v>Jun</v>
      </c>
      <c r="K52" s="23">
        <f t="shared" si="3"/>
        <v>715.029</v>
      </c>
    </row>
    <row r="53" spans="1:11" ht="15" thickBot="1" x14ac:dyDescent="0.35">
      <c r="A53" s="4" t="s">
        <v>58</v>
      </c>
      <c r="B53" s="1" t="s">
        <v>23</v>
      </c>
      <c r="C53" s="1" t="s">
        <v>20</v>
      </c>
      <c r="D53" s="1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5">
        <v>551.98</v>
      </c>
      <c r="J53" s="2" t="str">
        <f t="shared" si="2"/>
        <v>Jun</v>
      </c>
      <c r="K53" s="23">
        <f t="shared" si="3"/>
        <v>858.6339999999999</v>
      </c>
    </row>
    <row r="54" spans="1:11" ht="15" thickBot="1" x14ac:dyDescent="0.35">
      <c r="A54" s="4" t="s">
        <v>22</v>
      </c>
      <c r="B54" s="1" t="s">
        <v>64</v>
      </c>
      <c r="C54" s="1" t="s">
        <v>20</v>
      </c>
      <c r="D54" s="1" t="s">
        <v>27</v>
      </c>
      <c r="E54" s="2">
        <v>1086.93</v>
      </c>
      <c r="F54" s="2">
        <v>2</v>
      </c>
      <c r="G54" s="2">
        <v>0</v>
      </c>
      <c r="H54" s="3">
        <v>45464</v>
      </c>
      <c r="I54" s="5">
        <v>380.43</v>
      </c>
      <c r="J54" s="2" t="str">
        <f t="shared" si="2"/>
        <v>Jun</v>
      </c>
      <c r="K54" s="23">
        <f t="shared" si="3"/>
        <v>760.851</v>
      </c>
    </row>
    <row r="55" spans="1:11" ht="15" thickBot="1" x14ac:dyDescent="0.35">
      <c r="A55" s="4" t="s">
        <v>65</v>
      </c>
      <c r="B55" s="1" t="s">
        <v>48</v>
      </c>
      <c r="C55" s="1" t="s">
        <v>11</v>
      </c>
      <c r="D55" s="1" t="s">
        <v>12</v>
      </c>
      <c r="E55" s="2">
        <v>942.9</v>
      </c>
      <c r="F55" s="2">
        <v>18</v>
      </c>
      <c r="G55" s="2">
        <v>0.1</v>
      </c>
      <c r="H55" s="3">
        <v>45466</v>
      </c>
      <c r="I55" s="5">
        <v>339.44</v>
      </c>
      <c r="J55" s="2" t="str">
        <f t="shared" si="2"/>
        <v>Jun</v>
      </c>
      <c r="K55" s="23">
        <f t="shared" si="3"/>
        <v>660.03</v>
      </c>
    </row>
    <row r="56" spans="1:11" ht="15" thickBot="1" x14ac:dyDescent="0.35">
      <c r="A56" s="4" t="s">
        <v>32</v>
      </c>
      <c r="B56" s="1" t="s">
        <v>38</v>
      </c>
      <c r="C56" s="1" t="s">
        <v>24</v>
      </c>
      <c r="D56" s="1" t="s">
        <v>21</v>
      </c>
      <c r="E56" s="2">
        <v>818.8</v>
      </c>
      <c r="F56" s="2">
        <v>15</v>
      </c>
      <c r="G56" s="2">
        <v>0.15</v>
      </c>
      <c r="H56" s="3">
        <v>45468</v>
      </c>
      <c r="I56" s="5">
        <v>173.99</v>
      </c>
      <c r="J56" s="2" t="str">
        <f t="shared" si="2"/>
        <v>Jun</v>
      </c>
      <c r="K56" s="23">
        <f t="shared" si="3"/>
        <v>573.16</v>
      </c>
    </row>
    <row r="57" spans="1:11" ht="15" thickBot="1" x14ac:dyDescent="0.35">
      <c r="A57" s="4" t="s">
        <v>19</v>
      </c>
      <c r="B57" s="1" t="s">
        <v>14</v>
      </c>
      <c r="C57" s="1" t="s">
        <v>20</v>
      </c>
      <c r="D57" s="1" t="s">
        <v>27</v>
      </c>
      <c r="E57" s="2">
        <v>919.04</v>
      </c>
      <c r="F57" s="2">
        <v>10</v>
      </c>
      <c r="G57" s="2">
        <v>0.2</v>
      </c>
      <c r="H57" s="3">
        <v>45468</v>
      </c>
      <c r="I57" s="5">
        <v>257.33</v>
      </c>
      <c r="J57" s="2" t="str">
        <f t="shared" si="2"/>
        <v>Jun</v>
      </c>
      <c r="K57" s="23">
        <f t="shared" si="3"/>
        <v>643.32799999999997</v>
      </c>
    </row>
    <row r="58" spans="1:11" ht="15" thickBot="1" x14ac:dyDescent="0.35">
      <c r="A58" s="4" t="s">
        <v>22</v>
      </c>
      <c r="B58" s="1" t="s">
        <v>66</v>
      </c>
      <c r="C58" s="1" t="s">
        <v>34</v>
      </c>
      <c r="D58" s="1" t="s">
        <v>12</v>
      </c>
      <c r="E58" s="2">
        <v>973.26</v>
      </c>
      <c r="F58" s="2">
        <v>11</v>
      </c>
      <c r="G58" s="2">
        <v>0</v>
      </c>
      <c r="H58" s="3">
        <v>45470</v>
      </c>
      <c r="I58" s="5">
        <v>389.3</v>
      </c>
      <c r="J58" s="2" t="str">
        <f t="shared" si="2"/>
        <v>Jun</v>
      </c>
      <c r="K58" s="23">
        <f t="shared" si="3"/>
        <v>681.28199999999993</v>
      </c>
    </row>
    <row r="59" spans="1:11" ht="15" thickBot="1" x14ac:dyDescent="0.35">
      <c r="A59" s="4" t="s">
        <v>41</v>
      </c>
      <c r="B59" s="1" t="s">
        <v>64</v>
      </c>
      <c r="C59" s="1" t="s">
        <v>24</v>
      </c>
      <c r="D59" s="1" t="s">
        <v>21</v>
      </c>
      <c r="E59" s="2">
        <v>741.61</v>
      </c>
      <c r="F59" s="2">
        <v>1</v>
      </c>
      <c r="G59" s="2">
        <v>0.2</v>
      </c>
      <c r="H59" s="3">
        <v>45471</v>
      </c>
      <c r="I59" s="5">
        <v>148.32</v>
      </c>
      <c r="J59" s="2" t="str">
        <f t="shared" si="2"/>
        <v>Jun</v>
      </c>
      <c r="K59" s="23">
        <f t="shared" si="3"/>
        <v>519.12699999999995</v>
      </c>
    </row>
    <row r="60" spans="1:11" ht="15" thickBot="1" x14ac:dyDescent="0.35">
      <c r="A60" s="4" t="s">
        <v>67</v>
      </c>
      <c r="B60" s="1" t="s">
        <v>38</v>
      </c>
      <c r="C60" s="1" t="s">
        <v>24</v>
      </c>
      <c r="D60" s="1" t="s">
        <v>12</v>
      </c>
      <c r="E60" s="2">
        <v>1248.82</v>
      </c>
      <c r="F60" s="2">
        <v>2</v>
      </c>
      <c r="G60" s="2">
        <v>0.1</v>
      </c>
      <c r="H60" s="3">
        <v>45473</v>
      </c>
      <c r="I60" s="5">
        <v>449.58</v>
      </c>
      <c r="J60" s="2" t="str">
        <f t="shared" si="2"/>
        <v>Jun</v>
      </c>
      <c r="K60" s="23">
        <f t="shared" si="3"/>
        <v>874.17399999999986</v>
      </c>
    </row>
    <row r="61" spans="1:11" ht="15" thickBot="1" x14ac:dyDescent="0.35">
      <c r="A61" s="4" t="s">
        <v>13</v>
      </c>
      <c r="B61" s="1" t="s">
        <v>59</v>
      </c>
      <c r="C61" s="1" t="s">
        <v>11</v>
      </c>
      <c r="D61" s="1" t="s">
        <v>15</v>
      </c>
      <c r="E61" s="2">
        <v>1360.36</v>
      </c>
      <c r="F61" s="2">
        <v>17</v>
      </c>
      <c r="G61" s="2">
        <v>0</v>
      </c>
      <c r="H61" s="3">
        <v>45473</v>
      </c>
      <c r="I61" s="5">
        <v>680.18</v>
      </c>
      <c r="J61" s="2" t="str">
        <f t="shared" si="2"/>
        <v>Jun</v>
      </c>
      <c r="K61" s="23">
        <f t="shared" si="3"/>
        <v>952.25199999999984</v>
      </c>
    </row>
    <row r="62" spans="1:11" ht="15" thickBot="1" x14ac:dyDescent="0.35">
      <c r="A62" s="4" t="s">
        <v>57</v>
      </c>
      <c r="B62" s="1" t="s">
        <v>31</v>
      </c>
      <c r="C62" s="1" t="s">
        <v>18</v>
      </c>
      <c r="D62" s="1" t="s">
        <v>12</v>
      </c>
      <c r="E62" s="2">
        <v>1383.3</v>
      </c>
      <c r="F62" s="2">
        <v>8</v>
      </c>
      <c r="G62" s="2">
        <v>0.1</v>
      </c>
      <c r="H62" s="3">
        <v>45478</v>
      </c>
      <c r="I62" s="5">
        <v>497.99</v>
      </c>
      <c r="J62" s="2" t="str">
        <f t="shared" si="2"/>
        <v>Jul</v>
      </c>
      <c r="K62" s="23">
        <f t="shared" si="3"/>
        <v>968.31</v>
      </c>
    </row>
    <row r="63" spans="1:11" ht="15" thickBot="1" x14ac:dyDescent="0.35">
      <c r="A63" s="4" t="s">
        <v>35</v>
      </c>
      <c r="B63" s="1" t="s">
        <v>55</v>
      </c>
      <c r="C63" s="1" t="s">
        <v>34</v>
      </c>
      <c r="D63" s="1" t="s">
        <v>39</v>
      </c>
      <c r="E63" s="2">
        <v>488.99</v>
      </c>
      <c r="F63" s="2">
        <v>9</v>
      </c>
      <c r="G63" s="2">
        <v>0</v>
      </c>
      <c r="H63" s="3">
        <v>45479</v>
      </c>
      <c r="I63" s="5">
        <v>220.05</v>
      </c>
      <c r="J63" s="2" t="str">
        <f t="shared" si="2"/>
        <v>Jul</v>
      </c>
      <c r="K63" s="23">
        <f t="shared" si="3"/>
        <v>342.29300000000001</v>
      </c>
    </row>
    <row r="64" spans="1:11" ht="15" thickBot="1" x14ac:dyDescent="0.35">
      <c r="A64" s="4" t="s">
        <v>30</v>
      </c>
      <c r="B64" s="1" t="s">
        <v>31</v>
      </c>
      <c r="C64" s="1" t="s">
        <v>18</v>
      </c>
      <c r="D64" s="1" t="s">
        <v>27</v>
      </c>
      <c r="E64" s="2">
        <v>933.71</v>
      </c>
      <c r="F64" s="2">
        <v>17</v>
      </c>
      <c r="G64" s="2">
        <v>0.1</v>
      </c>
      <c r="H64" s="3">
        <v>45481</v>
      </c>
      <c r="I64" s="5">
        <v>294.12</v>
      </c>
      <c r="J64" s="2" t="str">
        <f t="shared" si="2"/>
        <v>Jul</v>
      </c>
      <c r="K64" s="23">
        <f t="shared" si="3"/>
        <v>653.59699999999998</v>
      </c>
    </row>
    <row r="65" spans="1:11" ht="15" thickBot="1" x14ac:dyDescent="0.35">
      <c r="A65" s="4" t="s">
        <v>67</v>
      </c>
      <c r="B65" s="1" t="s">
        <v>10</v>
      </c>
      <c r="C65" s="1" t="s">
        <v>11</v>
      </c>
      <c r="D65" s="1" t="s">
        <v>21</v>
      </c>
      <c r="E65" s="2">
        <v>1005.53</v>
      </c>
      <c r="F65" s="2">
        <v>17</v>
      </c>
      <c r="G65" s="2">
        <v>0.2</v>
      </c>
      <c r="H65" s="3">
        <v>45481</v>
      </c>
      <c r="I65" s="5">
        <v>201.11</v>
      </c>
      <c r="J65" s="2" t="str">
        <f t="shared" si="2"/>
        <v>Jul</v>
      </c>
      <c r="K65" s="23">
        <f t="shared" si="3"/>
        <v>703.87099999999998</v>
      </c>
    </row>
    <row r="66" spans="1:11" ht="15" thickBot="1" x14ac:dyDescent="0.35">
      <c r="A66" s="4" t="s">
        <v>41</v>
      </c>
      <c r="B66" s="1" t="s">
        <v>61</v>
      </c>
      <c r="C66" s="1" t="s">
        <v>20</v>
      </c>
      <c r="D66" s="1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5">
        <v>261.27</v>
      </c>
      <c r="J66" s="2" t="str">
        <f t="shared" ref="J66:J97" si="4">TEXT(H66,"mmm")</f>
        <v>Jul</v>
      </c>
      <c r="K66" s="23">
        <f t="shared" ref="K66:K97" si="5">E66*(1-$N$2)</f>
        <v>770.06999999999994</v>
      </c>
    </row>
    <row r="67" spans="1:11" ht="15" thickBot="1" x14ac:dyDescent="0.35">
      <c r="A67" s="4" t="s">
        <v>67</v>
      </c>
      <c r="B67" s="1" t="s">
        <v>23</v>
      </c>
      <c r="C67" s="1" t="s">
        <v>24</v>
      </c>
      <c r="D67" s="1" t="s">
        <v>27</v>
      </c>
      <c r="E67" s="2">
        <v>1034.7</v>
      </c>
      <c r="F67" s="2">
        <v>15</v>
      </c>
      <c r="G67" s="2">
        <v>0.15</v>
      </c>
      <c r="H67" s="3">
        <v>45487</v>
      </c>
      <c r="I67" s="5">
        <v>307.82</v>
      </c>
      <c r="J67" s="2" t="str">
        <f t="shared" si="4"/>
        <v>Jul</v>
      </c>
      <c r="K67" s="23">
        <f t="shared" si="5"/>
        <v>724.29</v>
      </c>
    </row>
    <row r="68" spans="1:11" ht="15" thickBot="1" x14ac:dyDescent="0.35">
      <c r="A68" s="4" t="s">
        <v>65</v>
      </c>
      <c r="B68" s="1" t="s">
        <v>31</v>
      </c>
      <c r="C68" s="1" t="s">
        <v>20</v>
      </c>
      <c r="D68" s="1" t="s">
        <v>12</v>
      </c>
      <c r="E68" s="2">
        <v>876.44</v>
      </c>
      <c r="F68" s="2">
        <v>12</v>
      </c>
      <c r="G68" s="2">
        <v>0.05</v>
      </c>
      <c r="H68" s="3">
        <v>45488</v>
      </c>
      <c r="I68" s="5">
        <v>333.05</v>
      </c>
      <c r="J68" s="2" t="str">
        <f t="shared" si="4"/>
        <v>Jul</v>
      </c>
      <c r="K68" s="23">
        <f t="shared" si="5"/>
        <v>613.50800000000004</v>
      </c>
    </row>
    <row r="69" spans="1:11" ht="15" thickBot="1" x14ac:dyDescent="0.35">
      <c r="A69" s="4" t="s">
        <v>68</v>
      </c>
      <c r="B69" s="1" t="s">
        <v>55</v>
      </c>
      <c r="C69" s="1" t="s">
        <v>11</v>
      </c>
      <c r="D69" s="1" t="s">
        <v>27</v>
      </c>
      <c r="E69" s="2">
        <v>1371.34</v>
      </c>
      <c r="F69" s="2">
        <v>5</v>
      </c>
      <c r="G69" s="2">
        <v>0.05</v>
      </c>
      <c r="H69" s="3">
        <v>45488</v>
      </c>
      <c r="I69" s="5">
        <v>455.97</v>
      </c>
      <c r="J69" s="2" t="str">
        <f t="shared" si="4"/>
        <v>Jul</v>
      </c>
      <c r="K69" s="23">
        <f t="shared" si="5"/>
        <v>959.93799999999987</v>
      </c>
    </row>
    <row r="70" spans="1:11" ht="15" thickBot="1" x14ac:dyDescent="0.35">
      <c r="A70" s="4" t="s">
        <v>57</v>
      </c>
      <c r="B70" s="1" t="s">
        <v>47</v>
      </c>
      <c r="C70" s="1" t="s">
        <v>24</v>
      </c>
      <c r="D70" s="1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5">
        <v>242.31</v>
      </c>
      <c r="J70" s="2" t="str">
        <f t="shared" si="4"/>
        <v>Jul</v>
      </c>
      <c r="K70" s="23">
        <f t="shared" si="5"/>
        <v>714.1819999999999</v>
      </c>
    </row>
    <row r="71" spans="1:11" ht="15" thickBot="1" x14ac:dyDescent="0.35">
      <c r="A71" s="4" t="s">
        <v>44</v>
      </c>
      <c r="B71" s="1" t="s">
        <v>10</v>
      </c>
      <c r="C71" s="1" t="s">
        <v>34</v>
      </c>
      <c r="D71" s="1" t="s">
        <v>39</v>
      </c>
      <c r="E71" s="2">
        <v>804.81</v>
      </c>
      <c r="F71" s="2">
        <v>1</v>
      </c>
      <c r="G71" s="2">
        <v>0.05</v>
      </c>
      <c r="H71" s="3">
        <v>45502</v>
      </c>
      <c r="I71" s="5">
        <v>344.06</v>
      </c>
      <c r="J71" s="2" t="str">
        <f t="shared" si="4"/>
        <v>Jul</v>
      </c>
      <c r="K71" s="23">
        <f t="shared" si="5"/>
        <v>563.36699999999996</v>
      </c>
    </row>
    <row r="72" spans="1:11" ht="15" thickBot="1" x14ac:dyDescent="0.35">
      <c r="A72" s="4" t="s">
        <v>22</v>
      </c>
      <c r="B72" s="1" t="s">
        <v>55</v>
      </c>
      <c r="C72" s="1" t="s">
        <v>34</v>
      </c>
      <c r="D72" s="1" t="s">
        <v>21</v>
      </c>
      <c r="E72" s="2">
        <v>608.66</v>
      </c>
      <c r="F72" s="2">
        <v>1</v>
      </c>
      <c r="G72" s="2">
        <v>0.05</v>
      </c>
      <c r="H72" s="3">
        <v>45503</v>
      </c>
      <c r="I72" s="5">
        <v>144.56</v>
      </c>
      <c r="J72" s="2" t="str">
        <f t="shared" si="4"/>
        <v>Jul</v>
      </c>
      <c r="K72" s="23">
        <f t="shared" si="5"/>
        <v>426.06199999999995</v>
      </c>
    </row>
    <row r="73" spans="1:11" ht="15" thickBot="1" x14ac:dyDescent="0.35">
      <c r="A73" s="4" t="s">
        <v>68</v>
      </c>
      <c r="B73" s="1" t="s">
        <v>69</v>
      </c>
      <c r="C73" s="1" t="s">
        <v>20</v>
      </c>
      <c r="D73" s="1" t="s">
        <v>39</v>
      </c>
      <c r="E73" s="2">
        <v>981.2</v>
      </c>
      <c r="F73" s="2">
        <v>19</v>
      </c>
      <c r="G73" s="2">
        <v>0</v>
      </c>
      <c r="H73" s="3">
        <v>45504</v>
      </c>
      <c r="I73" s="5">
        <v>441.54</v>
      </c>
      <c r="J73" s="2" t="str">
        <f t="shared" si="4"/>
        <v>Jul</v>
      </c>
      <c r="K73" s="23">
        <f t="shared" si="5"/>
        <v>686.84</v>
      </c>
    </row>
    <row r="74" spans="1:11" ht="15" thickBot="1" x14ac:dyDescent="0.35">
      <c r="A74" s="4" t="s">
        <v>70</v>
      </c>
      <c r="B74" s="1" t="s">
        <v>55</v>
      </c>
      <c r="C74" s="1" t="s">
        <v>18</v>
      </c>
      <c r="D74" s="1" t="s">
        <v>21</v>
      </c>
      <c r="E74" s="2">
        <v>539.77</v>
      </c>
      <c r="F74" s="2">
        <v>10</v>
      </c>
      <c r="G74" s="2">
        <v>0.15</v>
      </c>
      <c r="H74" s="3">
        <v>45509</v>
      </c>
      <c r="I74" s="5">
        <v>114.7</v>
      </c>
      <c r="J74" s="2" t="str">
        <f t="shared" si="4"/>
        <v>Aug</v>
      </c>
      <c r="K74" s="23">
        <f t="shared" si="5"/>
        <v>377.83899999999994</v>
      </c>
    </row>
    <row r="75" spans="1:11" ht="15" thickBot="1" x14ac:dyDescent="0.35">
      <c r="A75" s="4" t="s">
        <v>13</v>
      </c>
      <c r="B75" s="1" t="s">
        <v>71</v>
      </c>
      <c r="C75" s="1" t="s">
        <v>20</v>
      </c>
      <c r="D75" s="1" t="s">
        <v>12</v>
      </c>
      <c r="E75" s="2">
        <v>804.45</v>
      </c>
      <c r="F75" s="2">
        <v>5</v>
      </c>
      <c r="G75" s="2">
        <v>0.2</v>
      </c>
      <c r="H75" s="3">
        <v>45509</v>
      </c>
      <c r="I75" s="5">
        <v>257.42</v>
      </c>
      <c r="J75" s="2" t="str">
        <f t="shared" si="4"/>
        <v>Aug</v>
      </c>
      <c r="K75" s="23">
        <f t="shared" si="5"/>
        <v>563.11500000000001</v>
      </c>
    </row>
    <row r="76" spans="1:11" ht="15" thickBot="1" x14ac:dyDescent="0.35">
      <c r="A76" s="4" t="s">
        <v>70</v>
      </c>
      <c r="B76" s="1" t="s">
        <v>38</v>
      </c>
      <c r="C76" s="1" t="s">
        <v>11</v>
      </c>
      <c r="D76" s="1" t="s">
        <v>21</v>
      </c>
      <c r="E76" s="2">
        <v>1526.6</v>
      </c>
      <c r="F76" s="2">
        <v>13</v>
      </c>
      <c r="G76" s="2">
        <v>0.2</v>
      </c>
      <c r="H76" s="3">
        <v>45512</v>
      </c>
      <c r="I76" s="5">
        <v>305.32</v>
      </c>
      <c r="J76" s="2" t="str">
        <f t="shared" si="4"/>
        <v>Aug</v>
      </c>
      <c r="K76" s="23">
        <f t="shared" si="5"/>
        <v>1068.6199999999999</v>
      </c>
    </row>
    <row r="77" spans="1:11" ht="15" thickBot="1" x14ac:dyDescent="0.35">
      <c r="A77" s="4" t="s">
        <v>13</v>
      </c>
      <c r="B77" s="1" t="s">
        <v>29</v>
      </c>
      <c r="C77" s="1" t="s">
        <v>11</v>
      </c>
      <c r="D77" s="1" t="s">
        <v>21</v>
      </c>
      <c r="E77" s="2">
        <v>1215.26</v>
      </c>
      <c r="F77" s="2">
        <v>5</v>
      </c>
      <c r="G77" s="2">
        <v>0.15</v>
      </c>
      <c r="H77" s="3">
        <v>45513</v>
      </c>
      <c r="I77" s="5">
        <v>258.24</v>
      </c>
      <c r="J77" s="2" t="str">
        <f t="shared" si="4"/>
        <v>Aug</v>
      </c>
      <c r="K77" s="23">
        <f t="shared" si="5"/>
        <v>850.6819999999999</v>
      </c>
    </row>
    <row r="78" spans="1:11" ht="15" thickBot="1" x14ac:dyDescent="0.35">
      <c r="A78" s="4" t="s">
        <v>19</v>
      </c>
      <c r="B78" s="1" t="s">
        <v>53</v>
      </c>
      <c r="C78" s="1" t="s">
        <v>34</v>
      </c>
      <c r="D78" s="1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5">
        <v>441.47</v>
      </c>
      <c r="J78" s="2" t="str">
        <f t="shared" si="4"/>
        <v>Aug</v>
      </c>
      <c r="K78" s="23">
        <f t="shared" si="5"/>
        <v>882.93799999999987</v>
      </c>
    </row>
    <row r="79" spans="1:11" ht="15" thickBot="1" x14ac:dyDescent="0.35">
      <c r="A79" s="4" t="s">
        <v>72</v>
      </c>
      <c r="B79" s="1" t="s">
        <v>45</v>
      </c>
      <c r="C79" s="1" t="s">
        <v>24</v>
      </c>
      <c r="D79" s="1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5">
        <v>172.26</v>
      </c>
      <c r="J79" s="2" t="str">
        <f t="shared" si="4"/>
        <v>Aug</v>
      </c>
      <c r="K79" s="23">
        <f t="shared" si="5"/>
        <v>362.649</v>
      </c>
    </row>
    <row r="80" spans="1:11" ht="15" thickBot="1" x14ac:dyDescent="0.35">
      <c r="A80" s="4" t="s">
        <v>30</v>
      </c>
      <c r="B80" s="1" t="s">
        <v>29</v>
      </c>
      <c r="C80" s="1" t="s">
        <v>11</v>
      </c>
      <c r="D80" s="1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5">
        <v>500.1</v>
      </c>
      <c r="J80" s="2" t="str">
        <f t="shared" si="4"/>
        <v>Aug</v>
      </c>
      <c r="K80" s="23">
        <f t="shared" si="5"/>
        <v>777.93799999999987</v>
      </c>
    </row>
    <row r="81" spans="1:11" ht="15" thickBot="1" x14ac:dyDescent="0.35">
      <c r="A81" s="4" t="s">
        <v>22</v>
      </c>
      <c r="B81" s="1" t="s">
        <v>31</v>
      </c>
      <c r="C81" s="1" t="s">
        <v>18</v>
      </c>
      <c r="D81" s="1" t="s">
        <v>15</v>
      </c>
      <c r="E81" s="2">
        <v>1291.47</v>
      </c>
      <c r="F81" s="2">
        <v>18</v>
      </c>
      <c r="G81" s="2">
        <v>0.1</v>
      </c>
      <c r="H81" s="3">
        <v>45526</v>
      </c>
      <c r="I81" s="5">
        <v>581.16</v>
      </c>
      <c r="J81" s="2" t="str">
        <f t="shared" si="4"/>
        <v>Aug</v>
      </c>
      <c r="K81" s="23">
        <f t="shared" si="5"/>
        <v>904.029</v>
      </c>
    </row>
    <row r="82" spans="1:11" ht="15" thickBot="1" x14ac:dyDescent="0.35">
      <c r="A82" s="4" t="s">
        <v>25</v>
      </c>
      <c r="B82" s="1" t="s">
        <v>55</v>
      </c>
      <c r="C82" s="1" t="s">
        <v>24</v>
      </c>
      <c r="D82" s="1" t="s">
        <v>12</v>
      </c>
      <c r="E82" s="2">
        <v>679.71</v>
      </c>
      <c r="F82" s="2">
        <v>19</v>
      </c>
      <c r="G82" s="2">
        <v>0</v>
      </c>
      <c r="H82" s="3">
        <v>45534</v>
      </c>
      <c r="I82" s="5">
        <v>271.88</v>
      </c>
      <c r="J82" s="2" t="str">
        <f t="shared" si="4"/>
        <v>Aug</v>
      </c>
      <c r="K82" s="23">
        <f t="shared" si="5"/>
        <v>475.79699999999997</v>
      </c>
    </row>
    <row r="83" spans="1:11" ht="15" thickBot="1" x14ac:dyDescent="0.35">
      <c r="A83" s="4" t="s">
        <v>68</v>
      </c>
      <c r="B83" s="1" t="s">
        <v>33</v>
      </c>
      <c r="C83" s="1" t="s">
        <v>18</v>
      </c>
      <c r="D83" s="1" t="s">
        <v>27</v>
      </c>
      <c r="E83" s="2">
        <v>1143.69</v>
      </c>
      <c r="F83" s="2">
        <v>17</v>
      </c>
      <c r="G83" s="2">
        <v>0</v>
      </c>
      <c r="H83" s="3">
        <v>45534</v>
      </c>
      <c r="I83" s="5">
        <v>400.29</v>
      </c>
      <c r="J83" s="2" t="str">
        <f t="shared" si="4"/>
        <v>Aug</v>
      </c>
      <c r="K83" s="23">
        <f t="shared" si="5"/>
        <v>800.58299999999997</v>
      </c>
    </row>
    <row r="84" spans="1:11" ht="15" thickBot="1" x14ac:dyDescent="0.35">
      <c r="A84" s="4" t="s">
        <v>52</v>
      </c>
      <c r="B84" s="1" t="s">
        <v>50</v>
      </c>
      <c r="C84" s="1" t="s">
        <v>34</v>
      </c>
      <c r="D84" s="1" t="s">
        <v>21</v>
      </c>
      <c r="E84" s="2">
        <v>790.08</v>
      </c>
      <c r="F84" s="2">
        <v>7</v>
      </c>
      <c r="G84" s="2">
        <v>0.1</v>
      </c>
      <c r="H84" s="3">
        <v>45536</v>
      </c>
      <c r="I84" s="5">
        <v>177.77</v>
      </c>
      <c r="J84" s="2" t="str">
        <f t="shared" si="4"/>
        <v>Sep</v>
      </c>
      <c r="K84" s="23">
        <f t="shared" si="5"/>
        <v>553.05600000000004</v>
      </c>
    </row>
    <row r="85" spans="1:11" ht="15" thickBot="1" x14ac:dyDescent="0.35">
      <c r="A85" s="4" t="s">
        <v>19</v>
      </c>
      <c r="B85" s="1" t="s">
        <v>48</v>
      </c>
      <c r="C85" s="1" t="s">
        <v>34</v>
      </c>
      <c r="D85" s="1" t="s">
        <v>12</v>
      </c>
      <c r="E85" s="2">
        <v>1070.68</v>
      </c>
      <c r="F85" s="2">
        <v>7</v>
      </c>
      <c r="G85" s="2">
        <v>0.05</v>
      </c>
      <c r="H85" s="3">
        <v>45536</v>
      </c>
      <c r="I85" s="5">
        <v>406.86</v>
      </c>
      <c r="J85" s="2" t="str">
        <f t="shared" si="4"/>
        <v>Sep</v>
      </c>
      <c r="K85" s="23">
        <f t="shared" si="5"/>
        <v>749.476</v>
      </c>
    </row>
    <row r="86" spans="1:11" ht="15" thickBot="1" x14ac:dyDescent="0.35">
      <c r="A86" s="4" t="s">
        <v>58</v>
      </c>
      <c r="B86" s="1" t="s">
        <v>36</v>
      </c>
      <c r="C86" s="1" t="s">
        <v>11</v>
      </c>
      <c r="D86" s="1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5">
        <v>526</v>
      </c>
      <c r="J86" s="2" t="str">
        <f t="shared" si="4"/>
        <v>Sep</v>
      </c>
      <c r="K86" s="23">
        <f t="shared" si="5"/>
        <v>818.22300000000007</v>
      </c>
    </row>
    <row r="87" spans="1:11" ht="15" thickBot="1" x14ac:dyDescent="0.35">
      <c r="A87" s="4" t="s">
        <v>67</v>
      </c>
      <c r="B87" s="1" t="s">
        <v>10</v>
      </c>
      <c r="C87" s="1" t="s">
        <v>20</v>
      </c>
      <c r="D87" s="1" t="s">
        <v>21</v>
      </c>
      <c r="E87" s="2">
        <v>1335.87</v>
      </c>
      <c r="F87" s="2">
        <v>17</v>
      </c>
      <c r="G87" s="2">
        <v>0</v>
      </c>
      <c r="H87" s="3">
        <v>45544</v>
      </c>
      <c r="I87" s="5">
        <v>333.97</v>
      </c>
      <c r="J87" s="2" t="str">
        <f t="shared" si="4"/>
        <v>Sep</v>
      </c>
      <c r="K87" s="23">
        <f t="shared" si="5"/>
        <v>935.10899999999981</v>
      </c>
    </row>
    <row r="88" spans="1:11" ht="15" thickBot="1" x14ac:dyDescent="0.35">
      <c r="A88" s="4" t="s">
        <v>40</v>
      </c>
      <c r="B88" s="1" t="s">
        <v>55</v>
      </c>
      <c r="C88" s="1" t="s">
        <v>18</v>
      </c>
      <c r="D88" s="1" t="s">
        <v>27</v>
      </c>
      <c r="E88" s="2">
        <v>873.7</v>
      </c>
      <c r="F88" s="2">
        <v>9</v>
      </c>
      <c r="G88" s="2">
        <v>0</v>
      </c>
      <c r="H88" s="3">
        <v>45546</v>
      </c>
      <c r="I88" s="5">
        <v>305.8</v>
      </c>
      <c r="J88" s="2" t="str">
        <f t="shared" si="4"/>
        <v>Sep</v>
      </c>
      <c r="K88" s="23">
        <f t="shared" si="5"/>
        <v>611.59</v>
      </c>
    </row>
    <row r="89" spans="1:11" ht="15" thickBot="1" x14ac:dyDescent="0.35">
      <c r="A89" s="4" t="s">
        <v>72</v>
      </c>
      <c r="B89" s="1" t="s">
        <v>64</v>
      </c>
      <c r="C89" s="1" t="s">
        <v>11</v>
      </c>
      <c r="D89" s="1" t="s">
        <v>39</v>
      </c>
      <c r="E89" s="2">
        <v>1443.98</v>
      </c>
      <c r="F89" s="2">
        <v>19</v>
      </c>
      <c r="G89" s="2">
        <v>0</v>
      </c>
      <c r="H89" s="3">
        <v>45547</v>
      </c>
      <c r="I89" s="5">
        <v>649.79</v>
      </c>
      <c r="J89" s="2" t="str">
        <f t="shared" si="4"/>
        <v>Sep</v>
      </c>
      <c r="K89" s="23">
        <f t="shared" si="5"/>
        <v>1010.7859999999999</v>
      </c>
    </row>
    <row r="90" spans="1:11" ht="15" thickBot="1" x14ac:dyDescent="0.35">
      <c r="A90" s="4" t="s">
        <v>40</v>
      </c>
      <c r="B90" s="1" t="s">
        <v>23</v>
      </c>
      <c r="C90" s="1" t="s">
        <v>18</v>
      </c>
      <c r="D90" s="1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5">
        <v>441.53</v>
      </c>
      <c r="J90" s="2" t="str">
        <f t="shared" si="4"/>
        <v>Sep</v>
      </c>
      <c r="K90" s="23">
        <f t="shared" si="5"/>
        <v>808.03099999999995</v>
      </c>
    </row>
    <row r="91" spans="1:11" ht="15" thickBot="1" x14ac:dyDescent="0.35">
      <c r="A91" s="4" t="s">
        <v>49</v>
      </c>
      <c r="B91" s="1" t="s">
        <v>50</v>
      </c>
      <c r="C91" s="1" t="s">
        <v>20</v>
      </c>
      <c r="D91" s="1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5">
        <v>480.51</v>
      </c>
      <c r="J91" s="2" t="str">
        <f t="shared" si="4"/>
        <v>Sep</v>
      </c>
      <c r="K91" s="23">
        <f t="shared" si="5"/>
        <v>885.14299999999992</v>
      </c>
    </row>
    <row r="92" spans="1:11" ht="15" thickBot="1" x14ac:dyDescent="0.35">
      <c r="A92" s="4" t="s">
        <v>25</v>
      </c>
      <c r="B92" s="1" t="s">
        <v>66</v>
      </c>
      <c r="C92" s="1" t="s">
        <v>11</v>
      </c>
      <c r="D92" s="1" t="s">
        <v>27</v>
      </c>
      <c r="E92" s="2">
        <v>1101.55</v>
      </c>
      <c r="F92" s="2">
        <v>4</v>
      </c>
      <c r="G92" s="2">
        <v>0.1</v>
      </c>
      <c r="H92" s="3">
        <v>45551</v>
      </c>
      <c r="I92" s="5">
        <v>346.99</v>
      </c>
      <c r="J92" s="2" t="str">
        <f t="shared" si="4"/>
        <v>Sep</v>
      </c>
      <c r="K92" s="23">
        <f t="shared" si="5"/>
        <v>771.08499999999992</v>
      </c>
    </row>
    <row r="93" spans="1:11" ht="15" thickBot="1" x14ac:dyDescent="0.35">
      <c r="A93" s="4" t="s">
        <v>73</v>
      </c>
      <c r="B93" s="1" t="s">
        <v>14</v>
      </c>
      <c r="C93" s="1" t="s">
        <v>20</v>
      </c>
      <c r="D93" s="1" t="s">
        <v>27</v>
      </c>
      <c r="E93" s="2">
        <v>727.73</v>
      </c>
      <c r="F93" s="2">
        <v>1</v>
      </c>
      <c r="G93" s="2">
        <v>0.1</v>
      </c>
      <c r="H93" s="3">
        <v>45552</v>
      </c>
      <c r="I93" s="5">
        <v>229.23</v>
      </c>
      <c r="J93" s="2" t="str">
        <f t="shared" si="4"/>
        <v>Sep</v>
      </c>
      <c r="K93" s="23">
        <f t="shared" si="5"/>
        <v>509.411</v>
      </c>
    </row>
    <row r="94" spans="1:11" ht="15" thickBot="1" x14ac:dyDescent="0.35">
      <c r="A94" s="4" t="s">
        <v>74</v>
      </c>
      <c r="B94" s="1" t="s">
        <v>38</v>
      </c>
      <c r="C94" s="1" t="s">
        <v>18</v>
      </c>
      <c r="D94" s="1" t="s">
        <v>39</v>
      </c>
      <c r="E94" s="2">
        <v>875.41</v>
      </c>
      <c r="F94" s="2">
        <v>13</v>
      </c>
      <c r="G94" s="2">
        <v>0.15</v>
      </c>
      <c r="H94" s="3">
        <v>45552</v>
      </c>
      <c r="I94" s="5">
        <v>334.84</v>
      </c>
      <c r="J94" s="2" t="str">
        <f t="shared" si="4"/>
        <v>Sep</v>
      </c>
      <c r="K94" s="23">
        <f t="shared" si="5"/>
        <v>612.78699999999992</v>
      </c>
    </row>
    <row r="95" spans="1:11" ht="15" thickBot="1" x14ac:dyDescent="0.35">
      <c r="A95" s="4" t="s">
        <v>67</v>
      </c>
      <c r="B95" s="1" t="s">
        <v>23</v>
      </c>
      <c r="C95" s="1" t="s">
        <v>11</v>
      </c>
      <c r="D95" s="1" t="s">
        <v>21</v>
      </c>
      <c r="E95" s="2">
        <v>1158.94</v>
      </c>
      <c r="F95" s="2">
        <v>19</v>
      </c>
      <c r="G95" s="2">
        <v>0.2</v>
      </c>
      <c r="H95" s="3">
        <v>45553</v>
      </c>
      <c r="I95" s="5">
        <v>231.79</v>
      </c>
      <c r="J95" s="2" t="str">
        <f t="shared" si="4"/>
        <v>Sep</v>
      </c>
      <c r="K95" s="23">
        <f t="shared" si="5"/>
        <v>811.25800000000004</v>
      </c>
    </row>
    <row r="96" spans="1:11" ht="15" thickBot="1" x14ac:dyDescent="0.35">
      <c r="A96" s="4" t="s">
        <v>75</v>
      </c>
      <c r="B96" s="1" t="s">
        <v>47</v>
      </c>
      <c r="C96" s="1" t="s">
        <v>20</v>
      </c>
      <c r="D96" s="1" t="s">
        <v>12</v>
      </c>
      <c r="E96" s="2">
        <v>966.3</v>
      </c>
      <c r="F96" s="2">
        <v>2</v>
      </c>
      <c r="G96" s="2">
        <v>0.15</v>
      </c>
      <c r="H96" s="3">
        <v>45557</v>
      </c>
      <c r="I96" s="5">
        <v>328.54</v>
      </c>
      <c r="J96" s="2" t="str">
        <f t="shared" si="4"/>
        <v>Sep</v>
      </c>
      <c r="K96" s="23">
        <f t="shared" si="5"/>
        <v>676.41</v>
      </c>
    </row>
    <row r="97" spans="1:11" ht="15" thickBot="1" x14ac:dyDescent="0.35">
      <c r="A97" s="4" t="s">
        <v>68</v>
      </c>
      <c r="B97" s="1" t="s">
        <v>17</v>
      </c>
      <c r="C97" s="1" t="s">
        <v>20</v>
      </c>
      <c r="D97" s="1" t="s">
        <v>12</v>
      </c>
      <c r="E97" s="2">
        <v>917.48</v>
      </c>
      <c r="F97" s="2">
        <v>6</v>
      </c>
      <c r="G97" s="2">
        <v>0</v>
      </c>
      <c r="H97" s="3">
        <v>45558</v>
      </c>
      <c r="I97" s="5">
        <v>366.99</v>
      </c>
      <c r="J97" s="2" t="str">
        <f t="shared" si="4"/>
        <v>Sep</v>
      </c>
      <c r="K97" s="23">
        <f t="shared" si="5"/>
        <v>642.23599999999999</v>
      </c>
    </row>
    <row r="98" spans="1:11" ht="15" thickBot="1" x14ac:dyDescent="0.35">
      <c r="A98" s="4" t="s">
        <v>41</v>
      </c>
      <c r="B98" s="1" t="s">
        <v>61</v>
      </c>
      <c r="C98" s="1" t="s">
        <v>11</v>
      </c>
      <c r="D98" s="1" t="s">
        <v>27</v>
      </c>
      <c r="E98" s="2">
        <v>1172.97</v>
      </c>
      <c r="F98" s="2">
        <v>7</v>
      </c>
      <c r="G98" s="2">
        <v>0.15</v>
      </c>
      <c r="H98" s="3">
        <v>45559</v>
      </c>
      <c r="I98" s="5">
        <v>348.96</v>
      </c>
      <c r="J98" s="2" t="str">
        <f t="shared" ref="J98:J129" si="6">TEXT(H98,"mmm")</f>
        <v>Sep</v>
      </c>
      <c r="K98" s="23">
        <f t="shared" ref="K98:K129" si="7">E98*(1-$N$2)</f>
        <v>821.07899999999995</v>
      </c>
    </row>
    <row r="99" spans="1:11" ht="15" thickBot="1" x14ac:dyDescent="0.35">
      <c r="A99" s="4" t="s">
        <v>57</v>
      </c>
      <c r="B99" s="1" t="s">
        <v>23</v>
      </c>
      <c r="C99" s="1" t="s">
        <v>24</v>
      </c>
      <c r="D99" s="1" t="s">
        <v>15</v>
      </c>
      <c r="E99" s="2">
        <v>1205.82</v>
      </c>
      <c r="F99" s="2">
        <v>11</v>
      </c>
      <c r="G99" s="2">
        <v>0.1</v>
      </c>
      <c r="H99" s="3">
        <v>45559</v>
      </c>
      <c r="I99" s="5">
        <v>542.62</v>
      </c>
      <c r="J99" s="2" t="str">
        <f t="shared" si="6"/>
        <v>Sep</v>
      </c>
      <c r="K99" s="23">
        <f t="shared" si="7"/>
        <v>844.07399999999996</v>
      </c>
    </row>
    <row r="100" spans="1:11" ht="15" thickBot="1" x14ac:dyDescent="0.35">
      <c r="A100" s="4" t="s">
        <v>16</v>
      </c>
      <c r="B100" s="1" t="s">
        <v>64</v>
      </c>
      <c r="C100" s="1" t="s">
        <v>11</v>
      </c>
      <c r="D100" s="1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5">
        <v>297.69</v>
      </c>
      <c r="J100" s="2" t="str">
        <f t="shared" si="6"/>
        <v>Sep</v>
      </c>
      <c r="K100" s="23">
        <f t="shared" si="7"/>
        <v>578.85099999999989</v>
      </c>
    </row>
    <row r="101" spans="1:11" ht="15" thickBot="1" x14ac:dyDescent="0.35">
      <c r="A101" s="4" t="s">
        <v>67</v>
      </c>
      <c r="B101" s="1" t="s">
        <v>23</v>
      </c>
      <c r="C101" s="1" t="s">
        <v>34</v>
      </c>
      <c r="D101" s="1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5">
        <v>451.1</v>
      </c>
      <c r="J101" s="2" t="str">
        <f t="shared" si="6"/>
        <v>Sep</v>
      </c>
      <c r="K101" s="23">
        <f t="shared" si="7"/>
        <v>631.53300000000002</v>
      </c>
    </row>
    <row r="102" spans="1:11" ht="15" thickBot="1" x14ac:dyDescent="0.35">
      <c r="A102" s="4" t="s">
        <v>74</v>
      </c>
      <c r="B102" s="1" t="s">
        <v>38</v>
      </c>
      <c r="C102" s="1" t="s">
        <v>24</v>
      </c>
      <c r="D102" s="1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5">
        <v>210.95</v>
      </c>
      <c r="J102" s="2" t="str">
        <f t="shared" si="6"/>
        <v>Sep</v>
      </c>
      <c r="K102" s="23">
        <f t="shared" si="7"/>
        <v>410.17899999999997</v>
      </c>
    </row>
    <row r="103" spans="1:11" ht="15" thickBot="1" x14ac:dyDescent="0.35">
      <c r="A103" s="4" t="s">
        <v>60</v>
      </c>
      <c r="B103" s="1" t="s">
        <v>26</v>
      </c>
      <c r="C103" s="1" t="s">
        <v>24</v>
      </c>
      <c r="D103" s="1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5">
        <v>445.59</v>
      </c>
      <c r="J103" s="2" t="str">
        <f t="shared" si="6"/>
        <v>Sep</v>
      </c>
      <c r="K103" s="23">
        <f t="shared" si="7"/>
        <v>693.13300000000004</v>
      </c>
    </row>
    <row r="104" spans="1:11" ht="15" thickBot="1" x14ac:dyDescent="0.35">
      <c r="A104" s="4" t="s">
        <v>44</v>
      </c>
      <c r="B104" s="1" t="s">
        <v>56</v>
      </c>
      <c r="C104" s="1" t="s">
        <v>34</v>
      </c>
      <c r="D104" s="1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5">
        <v>202.82</v>
      </c>
      <c r="J104" s="2" t="str">
        <f t="shared" si="6"/>
        <v>Oct</v>
      </c>
      <c r="K104" s="23">
        <f t="shared" si="7"/>
        <v>709.86299999999994</v>
      </c>
    </row>
    <row r="105" spans="1:11" ht="15" thickBot="1" x14ac:dyDescent="0.35">
      <c r="A105" s="4" t="s">
        <v>13</v>
      </c>
      <c r="B105" s="1" t="s">
        <v>48</v>
      </c>
      <c r="C105" s="1" t="s">
        <v>24</v>
      </c>
      <c r="D105" s="1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5">
        <v>231.32</v>
      </c>
      <c r="J105" s="2" t="str">
        <f t="shared" si="6"/>
        <v>Oct</v>
      </c>
      <c r="K105" s="23">
        <f t="shared" si="7"/>
        <v>647.70299999999997</v>
      </c>
    </row>
    <row r="106" spans="1:11" ht="15" thickBot="1" x14ac:dyDescent="0.35">
      <c r="A106" s="4" t="s">
        <v>54</v>
      </c>
      <c r="B106" s="1" t="s">
        <v>47</v>
      </c>
      <c r="C106" s="1" t="s">
        <v>18</v>
      </c>
      <c r="D106" s="1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5">
        <v>450.29</v>
      </c>
      <c r="J106" s="2" t="str">
        <f t="shared" si="6"/>
        <v>Oct</v>
      </c>
      <c r="K106" s="23">
        <f t="shared" si="7"/>
        <v>900.57799999999986</v>
      </c>
    </row>
    <row r="107" spans="1:11" ht="15" thickBot="1" x14ac:dyDescent="0.35">
      <c r="A107" s="4" t="s">
        <v>37</v>
      </c>
      <c r="B107" s="1" t="s">
        <v>64</v>
      </c>
      <c r="C107" s="1" t="s">
        <v>20</v>
      </c>
      <c r="D107" s="1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5">
        <v>307.72000000000003</v>
      </c>
      <c r="J107" s="2" t="str">
        <f t="shared" si="6"/>
        <v>Oct</v>
      </c>
      <c r="K107" s="23">
        <f t="shared" si="7"/>
        <v>673.13400000000001</v>
      </c>
    </row>
    <row r="108" spans="1:11" ht="15" thickBot="1" x14ac:dyDescent="0.35">
      <c r="A108" s="4" t="s">
        <v>44</v>
      </c>
      <c r="B108" s="1" t="s">
        <v>23</v>
      </c>
      <c r="C108" s="1" t="s">
        <v>18</v>
      </c>
      <c r="D108" s="1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5">
        <v>367.59</v>
      </c>
      <c r="J108" s="2" t="str">
        <f t="shared" si="6"/>
        <v>Oct</v>
      </c>
      <c r="K108" s="23">
        <f t="shared" si="7"/>
        <v>756.798</v>
      </c>
    </row>
    <row r="109" spans="1:11" ht="15" thickBot="1" x14ac:dyDescent="0.35">
      <c r="A109" s="4" t="s">
        <v>58</v>
      </c>
      <c r="B109" s="1" t="s">
        <v>23</v>
      </c>
      <c r="C109" s="1" t="s">
        <v>11</v>
      </c>
      <c r="D109" s="1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5">
        <v>769.46</v>
      </c>
      <c r="J109" s="2" t="str">
        <f t="shared" si="6"/>
        <v>Oct</v>
      </c>
      <c r="K109" s="23">
        <f t="shared" si="7"/>
        <v>1346.5619999999999</v>
      </c>
    </row>
    <row r="110" spans="1:11" ht="15" thickBot="1" x14ac:dyDescent="0.35">
      <c r="A110" s="4" t="s">
        <v>54</v>
      </c>
      <c r="B110" s="1" t="s">
        <v>66</v>
      </c>
      <c r="C110" s="1" t="s">
        <v>34</v>
      </c>
      <c r="D110" s="1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5">
        <v>327.92</v>
      </c>
      <c r="J110" s="2" t="str">
        <f t="shared" si="6"/>
        <v>Oct</v>
      </c>
      <c r="K110" s="23">
        <f t="shared" si="7"/>
        <v>510.09699999999998</v>
      </c>
    </row>
    <row r="111" spans="1:11" ht="15" thickBot="1" x14ac:dyDescent="0.35">
      <c r="A111" s="4" t="s">
        <v>9</v>
      </c>
      <c r="B111" s="1" t="s">
        <v>33</v>
      </c>
      <c r="C111" s="1" t="s">
        <v>34</v>
      </c>
      <c r="D111" s="1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5">
        <v>553.29999999999995</v>
      </c>
      <c r="J111" s="2" t="str">
        <f t="shared" si="6"/>
        <v>Oct</v>
      </c>
      <c r="K111" s="23">
        <f t="shared" si="7"/>
        <v>911.32299999999998</v>
      </c>
    </row>
    <row r="112" spans="1:11" ht="15" thickBot="1" x14ac:dyDescent="0.35">
      <c r="A112" s="4" t="s">
        <v>70</v>
      </c>
      <c r="B112" s="1" t="s">
        <v>66</v>
      </c>
      <c r="C112" s="1" t="s">
        <v>18</v>
      </c>
      <c r="D112" s="1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5">
        <v>352.86</v>
      </c>
      <c r="J112" s="2" t="str">
        <f t="shared" si="6"/>
        <v>Oct</v>
      </c>
      <c r="K112" s="23">
        <f t="shared" si="7"/>
        <v>686.12599999999998</v>
      </c>
    </row>
    <row r="113" spans="1:11" ht="15" thickBot="1" x14ac:dyDescent="0.35">
      <c r="A113" s="4" t="s">
        <v>74</v>
      </c>
      <c r="B113" s="1" t="s">
        <v>23</v>
      </c>
      <c r="C113" s="1" t="s">
        <v>11</v>
      </c>
      <c r="D113" s="1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5">
        <v>313.91000000000003</v>
      </c>
      <c r="J113" s="2" t="str">
        <f t="shared" si="6"/>
        <v>Oct</v>
      </c>
      <c r="K113" s="23">
        <f t="shared" si="7"/>
        <v>488.29899999999998</v>
      </c>
    </row>
    <row r="114" spans="1:11" ht="15" thickBot="1" x14ac:dyDescent="0.35">
      <c r="A114" s="4" t="s">
        <v>46</v>
      </c>
      <c r="B114" s="1" t="s">
        <v>71</v>
      </c>
      <c r="C114" s="1" t="s">
        <v>11</v>
      </c>
      <c r="D114" s="1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5">
        <v>355.1</v>
      </c>
      <c r="J114" s="2" t="str">
        <f t="shared" si="6"/>
        <v>Oct</v>
      </c>
      <c r="K114" s="23">
        <f t="shared" si="7"/>
        <v>835.52699999999993</v>
      </c>
    </row>
    <row r="115" spans="1:11" ht="15" thickBot="1" x14ac:dyDescent="0.35">
      <c r="A115" s="4" t="s">
        <v>32</v>
      </c>
      <c r="B115" s="1" t="s">
        <v>38</v>
      </c>
      <c r="C115" s="1" t="s">
        <v>20</v>
      </c>
      <c r="D115" s="1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5">
        <v>192.76</v>
      </c>
      <c r="J115" s="2" t="str">
        <f t="shared" si="6"/>
        <v>Oct</v>
      </c>
      <c r="K115" s="23">
        <f t="shared" si="7"/>
        <v>539.71399999999994</v>
      </c>
    </row>
    <row r="116" spans="1:11" ht="15" thickBot="1" x14ac:dyDescent="0.35">
      <c r="A116" s="4" t="s">
        <v>67</v>
      </c>
      <c r="B116" s="1" t="s">
        <v>69</v>
      </c>
      <c r="C116" s="1" t="s">
        <v>24</v>
      </c>
      <c r="D116" s="1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5">
        <v>264.44</v>
      </c>
      <c r="J116" s="2" t="str">
        <f t="shared" si="6"/>
        <v>Oct</v>
      </c>
      <c r="K116" s="23">
        <f t="shared" si="7"/>
        <v>462.76299999999998</v>
      </c>
    </row>
    <row r="117" spans="1:11" ht="15" thickBot="1" x14ac:dyDescent="0.35">
      <c r="A117" s="4" t="s">
        <v>13</v>
      </c>
      <c r="B117" s="1" t="s">
        <v>55</v>
      </c>
      <c r="C117" s="1" t="s">
        <v>11</v>
      </c>
      <c r="D117" s="1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5">
        <v>172.21</v>
      </c>
      <c r="J117" s="2" t="str">
        <f t="shared" si="6"/>
        <v>Oct</v>
      </c>
      <c r="K117" s="23">
        <f t="shared" si="7"/>
        <v>482.18099999999998</v>
      </c>
    </row>
    <row r="118" spans="1:11" ht="15" thickBot="1" x14ac:dyDescent="0.35">
      <c r="A118" s="4" t="s">
        <v>73</v>
      </c>
      <c r="B118" s="1" t="s">
        <v>29</v>
      </c>
      <c r="C118" s="1" t="s">
        <v>34</v>
      </c>
      <c r="D118" s="1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5">
        <v>474.66</v>
      </c>
      <c r="J118" s="2" t="str">
        <f t="shared" si="6"/>
        <v>Nov</v>
      </c>
      <c r="K118" s="23">
        <f t="shared" si="7"/>
        <v>874.36999999999989</v>
      </c>
    </row>
    <row r="119" spans="1:11" ht="15" thickBot="1" x14ac:dyDescent="0.35">
      <c r="A119" s="4" t="s">
        <v>44</v>
      </c>
      <c r="B119" s="1" t="s">
        <v>23</v>
      </c>
      <c r="C119" s="1" t="s">
        <v>18</v>
      </c>
      <c r="D119" s="1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5">
        <v>433.58</v>
      </c>
      <c r="J119" s="2" t="str">
        <f t="shared" si="6"/>
        <v>Nov</v>
      </c>
      <c r="K119" s="23">
        <f t="shared" si="7"/>
        <v>709.95399999999995</v>
      </c>
    </row>
    <row r="120" spans="1:11" ht="15" thickBot="1" x14ac:dyDescent="0.35">
      <c r="A120" s="4" t="s">
        <v>54</v>
      </c>
      <c r="B120" s="1" t="s">
        <v>48</v>
      </c>
      <c r="C120" s="1" t="s">
        <v>18</v>
      </c>
      <c r="D120" s="1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5">
        <v>343.6</v>
      </c>
      <c r="J120" s="2" t="str">
        <f t="shared" si="6"/>
        <v>Nov</v>
      </c>
      <c r="K120" s="23">
        <f t="shared" si="7"/>
        <v>707.40599999999995</v>
      </c>
    </row>
    <row r="121" spans="1:11" ht="15" thickBot="1" x14ac:dyDescent="0.35">
      <c r="A121" s="4" t="s">
        <v>30</v>
      </c>
      <c r="B121" s="1" t="s">
        <v>59</v>
      </c>
      <c r="C121" s="1" t="s">
        <v>24</v>
      </c>
      <c r="D121" s="1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5">
        <v>318.3</v>
      </c>
      <c r="J121" s="2" t="str">
        <f t="shared" si="6"/>
        <v>Nov</v>
      </c>
      <c r="K121" s="23">
        <f t="shared" si="7"/>
        <v>670.10299999999995</v>
      </c>
    </row>
    <row r="122" spans="1:11" ht="15" thickBot="1" x14ac:dyDescent="0.35">
      <c r="A122" s="4" t="s">
        <v>28</v>
      </c>
      <c r="B122" s="1" t="s">
        <v>45</v>
      </c>
      <c r="C122" s="1" t="s">
        <v>24</v>
      </c>
      <c r="D122" s="1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5">
        <v>358.41</v>
      </c>
      <c r="J122" s="2" t="str">
        <f t="shared" si="6"/>
        <v>Nov</v>
      </c>
      <c r="K122" s="23">
        <f t="shared" si="7"/>
        <v>754.54399999999998</v>
      </c>
    </row>
    <row r="123" spans="1:11" ht="15" thickBot="1" x14ac:dyDescent="0.35">
      <c r="A123" s="4" t="s">
        <v>52</v>
      </c>
      <c r="B123" s="1" t="s">
        <v>50</v>
      </c>
      <c r="C123" s="1" t="s">
        <v>20</v>
      </c>
      <c r="D123" s="1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5">
        <v>581.5</v>
      </c>
      <c r="J123" s="2" t="str">
        <f t="shared" si="6"/>
        <v>Nov</v>
      </c>
      <c r="K123" s="23">
        <f t="shared" si="7"/>
        <v>814.10699999999997</v>
      </c>
    </row>
    <row r="124" spans="1:11" ht="15" thickBot="1" x14ac:dyDescent="0.35">
      <c r="A124" s="4" t="s">
        <v>54</v>
      </c>
      <c r="B124" s="1" t="s">
        <v>45</v>
      </c>
      <c r="C124" s="1" t="s">
        <v>18</v>
      </c>
      <c r="D124" s="1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5">
        <v>410.9</v>
      </c>
      <c r="J124" s="2" t="str">
        <f t="shared" si="6"/>
        <v>Nov</v>
      </c>
      <c r="K124" s="23">
        <f t="shared" si="7"/>
        <v>710.19199999999989</v>
      </c>
    </row>
    <row r="125" spans="1:11" ht="15" thickBot="1" x14ac:dyDescent="0.35">
      <c r="A125" s="4" t="s">
        <v>9</v>
      </c>
      <c r="B125" s="1" t="s">
        <v>17</v>
      </c>
      <c r="C125" s="1" t="s">
        <v>20</v>
      </c>
      <c r="D125" s="1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5">
        <v>179.51</v>
      </c>
      <c r="J125" s="2" t="str">
        <f t="shared" si="6"/>
        <v>Nov</v>
      </c>
      <c r="K125" s="23">
        <f t="shared" si="7"/>
        <v>502.62799999999993</v>
      </c>
    </row>
    <row r="126" spans="1:11" ht="15" thickBot="1" x14ac:dyDescent="0.35">
      <c r="A126" s="4" t="s">
        <v>72</v>
      </c>
      <c r="B126" s="1" t="s">
        <v>17</v>
      </c>
      <c r="C126" s="1" t="s">
        <v>34</v>
      </c>
      <c r="D126" s="1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5">
        <v>511.14</v>
      </c>
      <c r="J126" s="2" t="str">
        <f t="shared" si="6"/>
        <v>Nov</v>
      </c>
      <c r="K126" s="23">
        <f t="shared" si="7"/>
        <v>894.49499999999989</v>
      </c>
    </row>
    <row r="127" spans="1:11" ht="15" thickBot="1" x14ac:dyDescent="0.35">
      <c r="A127" s="4" t="s">
        <v>70</v>
      </c>
      <c r="B127" s="1" t="s">
        <v>23</v>
      </c>
      <c r="C127" s="1" t="s">
        <v>24</v>
      </c>
      <c r="D127" s="1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5">
        <v>150.18</v>
      </c>
      <c r="J127" s="2" t="str">
        <f t="shared" si="6"/>
        <v>Nov</v>
      </c>
      <c r="K127" s="23">
        <f t="shared" si="7"/>
        <v>494.71099999999996</v>
      </c>
    </row>
    <row r="128" spans="1:11" ht="15" thickBot="1" x14ac:dyDescent="0.35">
      <c r="A128" s="4" t="s">
        <v>65</v>
      </c>
      <c r="B128" s="1" t="s">
        <v>50</v>
      </c>
      <c r="C128" s="1" t="s">
        <v>18</v>
      </c>
      <c r="D128" s="1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5">
        <v>352.65</v>
      </c>
      <c r="J128" s="2" t="str">
        <f t="shared" si="6"/>
        <v>Nov</v>
      </c>
      <c r="K128" s="23">
        <f t="shared" si="7"/>
        <v>987.4129999999999</v>
      </c>
    </row>
    <row r="129" spans="1:11" ht="15" thickBot="1" x14ac:dyDescent="0.35">
      <c r="A129" s="4" t="s">
        <v>32</v>
      </c>
      <c r="B129" s="1" t="s">
        <v>61</v>
      </c>
      <c r="C129" s="1" t="s">
        <v>20</v>
      </c>
      <c r="D129" s="1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5">
        <v>472.62</v>
      </c>
      <c r="J129" s="2" t="str">
        <f t="shared" si="6"/>
        <v>Nov</v>
      </c>
      <c r="K129" s="23">
        <f t="shared" si="7"/>
        <v>945.23099999999988</v>
      </c>
    </row>
    <row r="130" spans="1:11" ht="15" thickBot="1" x14ac:dyDescent="0.35">
      <c r="A130" s="4" t="s">
        <v>41</v>
      </c>
      <c r="B130" s="1" t="s">
        <v>45</v>
      </c>
      <c r="C130" s="1" t="s">
        <v>18</v>
      </c>
      <c r="D130" s="1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5">
        <v>195.33</v>
      </c>
      <c r="J130" s="2" t="str">
        <f t="shared" ref="J130:J161" si="8">TEXT(H130,"mmm")</f>
        <v>Nov</v>
      </c>
      <c r="K130" s="23">
        <f t="shared" ref="K130:K161" si="9">E130*(1-$N$2)</f>
        <v>643.42599999999993</v>
      </c>
    </row>
    <row r="131" spans="1:11" ht="15" thickBot="1" x14ac:dyDescent="0.35">
      <c r="A131" s="4" t="s">
        <v>74</v>
      </c>
      <c r="B131" s="1" t="s">
        <v>23</v>
      </c>
      <c r="C131" s="1" t="s">
        <v>11</v>
      </c>
      <c r="D131" s="1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5">
        <v>64.63</v>
      </c>
      <c r="J131" s="2" t="str">
        <f t="shared" si="8"/>
        <v>Nov</v>
      </c>
      <c r="K131" s="23">
        <f t="shared" si="9"/>
        <v>180.95699999999999</v>
      </c>
    </row>
    <row r="132" spans="1:11" ht="15" thickBot="1" x14ac:dyDescent="0.35">
      <c r="A132" s="4" t="s">
        <v>63</v>
      </c>
      <c r="B132" s="1" t="s">
        <v>61</v>
      </c>
      <c r="C132" s="1" t="s">
        <v>18</v>
      </c>
      <c r="D132" s="1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5">
        <v>461.12</v>
      </c>
      <c r="J132" s="2" t="str">
        <f t="shared" si="8"/>
        <v>Nov</v>
      </c>
      <c r="K132" s="23">
        <f t="shared" si="9"/>
        <v>849.43599999999992</v>
      </c>
    </row>
    <row r="133" spans="1:11" ht="15" thickBot="1" x14ac:dyDescent="0.35">
      <c r="A133" s="4" t="s">
        <v>57</v>
      </c>
      <c r="B133" s="1" t="s">
        <v>38</v>
      </c>
      <c r="C133" s="1" t="s">
        <v>34</v>
      </c>
      <c r="D133" s="1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5">
        <v>437.11</v>
      </c>
      <c r="J133" s="2" t="str">
        <f t="shared" si="8"/>
        <v>Nov</v>
      </c>
      <c r="K133" s="23">
        <f t="shared" si="9"/>
        <v>805.19599999999991</v>
      </c>
    </row>
    <row r="134" spans="1:11" ht="15" thickBot="1" x14ac:dyDescent="0.35">
      <c r="A134" s="4" t="s">
        <v>37</v>
      </c>
      <c r="B134" s="1" t="s">
        <v>71</v>
      </c>
      <c r="C134" s="1" t="s">
        <v>20</v>
      </c>
      <c r="D134" s="1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5">
        <v>268.97000000000003</v>
      </c>
      <c r="J134" s="2" t="str">
        <f t="shared" si="8"/>
        <v>Nov</v>
      </c>
      <c r="K134" s="23">
        <f t="shared" si="9"/>
        <v>597.702</v>
      </c>
    </row>
    <row r="135" spans="1:11" ht="15" thickBot="1" x14ac:dyDescent="0.35">
      <c r="A135" s="4" t="s">
        <v>75</v>
      </c>
      <c r="B135" s="1" t="s">
        <v>45</v>
      </c>
      <c r="C135" s="1" t="s">
        <v>20</v>
      </c>
      <c r="D135" s="1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5">
        <v>265.26</v>
      </c>
      <c r="J135" s="2" t="str">
        <f t="shared" si="8"/>
        <v>Nov</v>
      </c>
      <c r="K135" s="23">
        <f t="shared" si="9"/>
        <v>742.72799999999995</v>
      </c>
    </row>
    <row r="136" spans="1:11" ht="15" thickBot="1" x14ac:dyDescent="0.35">
      <c r="A136" s="4" t="s">
        <v>28</v>
      </c>
      <c r="B136" s="1" t="s">
        <v>43</v>
      </c>
      <c r="C136" s="1" t="s">
        <v>11</v>
      </c>
      <c r="D136" s="1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5">
        <v>178.91</v>
      </c>
      <c r="J136" s="2" t="str">
        <f t="shared" si="8"/>
        <v>Nov</v>
      </c>
      <c r="K136" s="23">
        <f t="shared" si="9"/>
        <v>626.18499999999995</v>
      </c>
    </row>
    <row r="137" spans="1:11" ht="15" thickBot="1" x14ac:dyDescent="0.35">
      <c r="A137" s="4" t="s">
        <v>25</v>
      </c>
      <c r="B137" s="1" t="s">
        <v>38</v>
      </c>
      <c r="C137" s="1" t="s">
        <v>24</v>
      </c>
      <c r="D137" s="1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5">
        <v>356.5</v>
      </c>
      <c r="J137" s="2" t="str">
        <f t="shared" si="8"/>
        <v>Nov</v>
      </c>
      <c r="K137" s="23">
        <f t="shared" si="9"/>
        <v>583.73699999999997</v>
      </c>
    </row>
    <row r="138" spans="1:11" ht="15" thickBot="1" x14ac:dyDescent="0.35">
      <c r="A138" s="4" t="s">
        <v>58</v>
      </c>
      <c r="B138" s="1" t="s">
        <v>71</v>
      </c>
      <c r="C138" s="1" t="s">
        <v>11</v>
      </c>
      <c r="D138" s="1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5">
        <v>229.65</v>
      </c>
      <c r="J138" s="2" t="str">
        <f t="shared" si="8"/>
        <v>Dec</v>
      </c>
      <c r="K138" s="23">
        <f t="shared" si="9"/>
        <v>574.13300000000004</v>
      </c>
    </row>
    <row r="139" spans="1:11" ht="15" thickBot="1" x14ac:dyDescent="0.35">
      <c r="A139" s="4" t="s">
        <v>58</v>
      </c>
      <c r="B139" s="1" t="s">
        <v>38</v>
      </c>
      <c r="C139" s="1" t="s">
        <v>34</v>
      </c>
      <c r="D139" s="1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5">
        <v>121.54</v>
      </c>
      <c r="J139" s="2" t="str">
        <f t="shared" si="8"/>
        <v>Dec</v>
      </c>
      <c r="K139" s="23">
        <f t="shared" si="9"/>
        <v>358.21799999999996</v>
      </c>
    </row>
    <row r="140" spans="1:11" ht="15" thickBot="1" x14ac:dyDescent="0.35">
      <c r="A140" s="4" t="s">
        <v>65</v>
      </c>
      <c r="B140" s="1" t="s">
        <v>61</v>
      </c>
      <c r="C140" s="1" t="s">
        <v>20</v>
      </c>
      <c r="D140" s="1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5">
        <v>268</v>
      </c>
      <c r="J140" s="2" t="str">
        <f t="shared" si="8"/>
        <v>Dec</v>
      </c>
      <c r="K140" s="23">
        <f t="shared" si="9"/>
        <v>564.22099999999989</v>
      </c>
    </row>
    <row r="141" spans="1:11" ht="15" thickBot="1" x14ac:dyDescent="0.35">
      <c r="A141" s="4" t="s">
        <v>28</v>
      </c>
      <c r="B141" s="1" t="s">
        <v>26</v>
      </c>
      <c r="C141" s="1" t="s">
        <v>34</v>
      </c>
      <c r="D141" s="1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5">
        <v>426.16</v>
      </c>
      <c r="J141" s="2" t="str">
        <f t="shared" si="8"/>
        <v>Dec</v>
      </c>
      <c r="K141" s="23">
        <f t="shared" si="9"/>
        <v>1002.7289999999999</v>
      </c>
    </row>
    <row r="142" spans="1:11" ht="15" thickBot="1" x14ac:dyDescent="0.35">
      <c r="A142" s="4" t="s">
        <v>74</v>
      </c>
      <c r="B142" s="1" t="s">
        <v>29</v>
      </c>
      <c r="C142" s="1" t="s">
        <v>34</v>
      </c>
      <c r="D142" s="1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5">
        <v>316.32</v>
      </c>
      <c r="J142" s="2" t="str">
        <f t="shared" si="8"/>
        <v>Dec</v>
      </c>
      <c r="K142" s="23">
        <f t="shared" si="9"/>
        <v>1042.0059999999999</v>
      </c>
    </row>
    <row r="143" spans="1:11" ht="15" thickBot="1" x14ac:dyDescent="0.35">
      <c r="A143" s="4" t="s">
        <v>30</v>
      </c>
      <c r="B143" s="1" t="s">
        <v>66</v>
      </c>
      <c r="C143" s="1" t="s">
        <v>18</v>
      </c>
      <c r="D143" s="1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5">
        <v>492.5</v>
      </c>
      <c r="J143" s="2" t="str">
        <f t="shared" si="8"/>
        <v>Dec</v>
      </c>
      <c r="K143" s="23">
        <f t="shared" si="9"/>
        <v>861.88199999999995</v>
      </c>
    </row>
    <row r="144" spans="1:11" ht="15" thickBot="1" x14ac:dyDescent="0.35">
      <c r="A144" s="4" t="s">
        <v>30</v>
      </c>
      <c r="B144" s="1" t="s">
        <v>43</v>
      </c>
      <c r="C144" s="1" t="s">
        <v>11</v>
      </c>
      <c r="D144" s="1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5">
        <v>232.33</v>
      </c>
      <c r="J144" s="2" t="str">
        <f t="shared" si="8"/>
        <v>Dec</v>
      </c>
      <c r="K144" s="23">
        <f t="shared" si="9"/>
        <v>813.16899999999998</v>
      </c>
    </row>
    <row r="145" spans="1:11" ht="15" thickBot="1" x14ac:dyDescent="0.35">
      <c r="A145" s="4" t="s">
        <v>49</v>
      </c>
      <c r="B145" s="1" t="s">
        <v>45</v>
      </c>
      <c r="C145" s="1" t="s">
        <v>34</v>
      </c>
      <c r="D145" s="1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5">
        <v>165.97</v>
      </c>
      <c r="J145" s="2" t="str">
        <f t="shared" si="8"/>
        <v>Dec</v>
      </c>
      <c r="K145" s="23">
        <f t="shared" si="9"/>
        <v>271.76099999999997</v>
      </c>
    </row>
    <row r="146" spans="1:11" ht="15" thickBot="1" x14ac:dyDescent="0.35">
      <c r="A146" s="4" t="s">
        <v>72</v>
      </c>
      <c r="B146" s="1" t="s">
        <v>31</v>
      </c>
      <c r="C146" s="1" t="s">
        <v>24</v>
      </c>
      <c r="D146" s="1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5">
        <v>675.5</v>
      </c>
      <c r="J146" s="2" t="str">
        <f t="shared" si="8"/>
        <v>Dec</v>
      </c>
      <c r="K146" s="23">
        <f t="shared" si="9"/>
        <v>1112.5940000000001</v>
      </c>
    </row>
    <row r="147" spans="1:11" ht="15" thickBot="1" x14ac:dyDescent="0.35">
      <c r="A147" s="4" t="s">
        <v>28</v>
      </c>
      <c r="B147" s="1" t="s">
        <v>71</v>
      </c>
      <c r="C147" s="1" t="s">
        <v>24</v>
      </c>
      <c r="D147" s="1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5">
        <v>134.66</v>
      </c>
      <c r="J147" s="2" t="str">
        <f t="shared" si="8"/>
        <v>Dec</v>
      </c>
      <c r="K147" s="23">
        <f t="shared" si="9"/>
        <v>235.66200000000001</v>
      </c>
    </row>
    <row r="148" spans="1:11" ht="15" thickBot="1" x14ac:dyDescent="0.35">
      <c r="A148" s="4" t="s">
        <v>49</v>
      </c>
      <c r="B148" s="1" t="s">
        <v>23</v>
      </c>
      <c r="C148" s="1" t="s">
        <v>11</v>
      </c>
      <c r="D148" s="1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5">
        <v>487.36</v>
      </c>
      <c r="J148" s="2" t="str">
        <f t="shared" si="8"/>
        <v>Dec</v>
      </c>
      <c r="K148" s="23">
        <f t="shared" si="9"/>
        <v>947.65299999999991</v>
      </c>
    </row>
    <row r="149" spans="1:11" ht="15" thickBot="1" x14ac:dyDescent="0.35">
      <c r="A149" s="4" t="s">
        <v>63</v>
      </c>
      <c r="B149" s="1" t="s">
        <v>69</v>
      </c>
      <c r="C149" s="1" t="s">
        <v>34</v>
      </c>
      <c r="D149" s="1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5">
        <v>314.74</v>
      </c>
      <c r="J149" s="2" t="str">
        <f t="shared" si="8"/>
        <v>Jan</v>
      </c>
      <c r="K149" s="23">
        <f t="shared" si="9"/>
        <v>463.827</v>
      </c>
    </row>
    <row r="150" spans="1:11" ht="15" thickBot="1" x14ac:dyDescent="0.35">
      <c r="A150" s="4" t="s">
        <v>52</v>
      </c>
      <c r="B150" s="1" t="s">
        <v>48</v>
      </c>
      <c r="C150" s="1" t="s">
        <v>24</v>
      </c>
      <c r="D150" s="1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5">
        <v>111.39</v>
      </c>
      <c r="J150" s="2" t="str">
        <f t="shared" si="8"/>
        <v>Jan</v>
      </c>
      <c r="K150" s="23">
        <f t="shared" si="9"/>
        <v>216.59399999999999</v>
      </c>
    </row>
    <row r="151" spans="1:11" ht="15" thickBot="1" x14ac:dyDescent="0.35">
      <c r="A151" s="4" t="s">
        <v>63</v>
      </c>
      <c r="B151" s="1" t="s">
        <v>29</v>
      </c>
      <c r="C151" s="1" t="s">
        <v>24</v>
      </c>
      <c r="D151" s="1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5">
        <v>318.47000000000003</v>
      </c>
      <c r="J151" s="2" t="str">
        <f t="shared" si="8"/>
        <v>Jan</v>
      </c>
      <c r="K151" s="23">
        <f t="shared" si="9"/>
        <v>619.24099999999999</v>
      </c>
    </row>
    <row r="152" spans="1:11" ht="15" thickBot="1" x14ac:dyDescent="0.35">
      <c r="A152" s="4" t="s">
        <v>52</v>
      </c>
      <c r="B152" s="1" t="s">
        <v>23</v>
      </c>
      <c r="C152" s="1" t="s">
        <v>34</v>
      </c>
      <c r="D152" s="1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5">
        <v>301.75</v>
      </c>
      <c r="J152" s="2" t="str">
        <f t="shared" si="8"/>
        <v>Jan</v>
      </c>
      <c r="K152" s="23">
        <f t="shared" si="9"/>
        <v>521.53499999999997</v>
      </c>
    </row>
    <row r="153" spans="1:11" ht="15" thickBot="1" x14ac:dyDescent="0.35">
      <c r="A153" s="4" t="s">
        <v>60</v>
      </c>
      <c r="B153" s="1" t="s">
        <v>17</v>
      </c>
      <c r="C153" s="1" t="s">
        <v>20</v>
      </c>
      <c r="D153" s="1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5">
        <v>413.36</v>
      </c>
      <c r="J153" s="2" t="str">
        <f t="shared" si="8"/>
        <v>Jan</v>
      </c>
      <c r="K153" s="23">
        <f t="shared" si="9"/>
        <v>609.16099999999994</v>
      </c>
    </row>
    <row r="154" spans="1:11" ht="15" thickBot="1" x14ac:dyDescent="0.35">
      <c r="A154" s="4" t="s">
        <v>35</v>
      </c>
      <c r="B154" s="1" t="s">
        <v>29</v>
      </c>
      <c r="C154" s="1" t="s">
        <v>11</v>
      </c>
      <c r="D154" s="1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5">
        <v>286.68</v>
      </c>
      <c r="J154" s="2" t="str">
        <f t="shared" si="8"/>
        <v>Jan</v>
      </c>
      <c r="K154" s="23">
        <f t="shared" si="9"/>
        <v>603.53300000000002</v>
      </c>
    </row>
    <row r="155" spans="1:11" ht="15" thickBot="1" x14ac:dyDescent="0.35">
      <c r="A155" s="4" t="s">
        <v>73</v>
      </c>
      <c r="B155" s="1" t="s">
        <v>59</v>
      </c>
      <c r="C155" s="1" t="s">
        <v>24</v>
      </c>
      <c r="D155" s="1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5">
        <v>556.30999999999995</v>
      </c>
      <c r="J155" s="2" t="str">
        <f t="shared" si="8"/>
        <v>Jan</v>
      </c>
      <c r="K155" s="23">
        <f t="shared" si="9"/>
        <v>819.82600000000002</v>
      </c>
    </row>
    <row r="156" spans="1:11" ht="15" thickBot="1" x14ac:dyDescent="0.35">
      <c r="A156" s="4" t="s">
        <v>58</v>
      </c>
      <c r="B156" s="1" t="s">
        <v>14</v>
      </c>
      <c r="C156" s="1" t="s">
        <v>20</v>
      </c>
      <c r="D156" s="1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5">
        <v>332.19</v>
      </c>
      <c r="J156" s="2" t="str">
        <f t="shared" si="8"/>
        <v>Jan</v>
      </c>
      <c r="K156" s="23">
        <f t="shared" si="9"/>
        <v>738.19199999999989</v>
      </c>
    </row>
    <row r="157" spans="1:11" ht="15" thickBot="1" x14ac:dyDescent="0.35">
      <c r="A157" s="4" t="s">
        <v>58</v>
      </c>
      <c r="B157" s="1" t="s">
        <v>23</v>
      </c>
      <c r="C157" s="1" t="s">
        <v>24</v>
      </c>
      <c r="D157" s="1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5">
        <v>336.24</v>
      </c>
      <c r="J157" s="2" t="str">
        <f t="shared" si="8"/>
        <v>Jan</v>
      </c>
      <c r="K157" s="23">
        <f t="shared" si="9"/>
        <v>1176.847</v>
      </c>
    </row>
    <row r="158" spans="1:11" ht="15" thickBot="1" x14ac:dyDescent="0.35">
      <c r="A158" s="4" t="s">
        <v>58</v>
      </c>
      <c r="B158" s="1" t="s">
        <v>36</v>
      </c>
      <c r="C158" s="1" t="s">
        <v>11</v>
      </c>
      <c r="D158" s="1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5">
        <v>180.39</v>
      </c>
      <c r="J158" s="2" t="str">
        <f t="shared" si="8"/>
        <v>Jan</v>
      </c>
      <c r="K158" s="23">
        <f t="shared" si="9"/>
        <v>265.839</v>
      </c>
    </row>
    <row r="159" spans="1:11" ht="15" thickBot="1" x14ac:dyDescent="0.35">
      <c r="A159" s="4" t="s">
        <v>44</v>
      </c>
      <c r="B159" s="1" t="s">
        <v>45</v>
      </c>
      <c r="C159" s="1" t="s">
        <v>34</v>
      </c>
      <c r="D159" s="1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5">
        <v>484.35</v>
      </c>
      <c r="J159" s="2" t="str">
        <f t="shared" si="8"/>
        <v>Jan</v>
      </c>
      <c r="K159" s="23">
        <f t="shared" si="9"/>
        <v>753.43099999999993</v>
      </c>
    </row>
    <row r="160" spans="1:11" ht="15" thickBot="1" x14ac:dyDescent="0.35">
      <c r="A160" s="4" t="s">
        <v>44</v>
      </c>
      <c r="B160" s="1" t="s">
        <v>31</v>
      </c>
      <c r="C160" s="1" t="s">
        <v>34</v>
      </c>
      <c r="D160" s="1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5">
        <v>562.82000000000005</v>
      </c>
      <c r="J160" s="2" t="str">
        <f t="shared" si="8"/>
        <v>Jan</v>
      </c>
      <c r="K160" s="23">
        <f t="shared" si="9"/>
        <v>875.49699999999996</v>
      </c>
    </row>
    <row r="161" spans="1:11" ht="15" thickBot="1" x14ac:dyDescent="0.35">
      <c r="A161" s="4" t="s">
        <v>40</v>
      </c>
      <c r="B161" s="1" t="s">
        <v>17</v>
      </c>
      <c r="C161" s="1" t="s">
        <v>20</v>
      </c>
      <c r="D161" s="1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5">
        <v>447.34</v>
      </c>
      <c r="J161" s="2" t="str">
        <f t="shared" si="8"/>
        <v>Jan</v>
      </c>
      <c r="K161" s="23">
        <f t="shared" si="9"/>
        <v>782.83799999999985</v>
      </c>
    </row>
    <row r="162" spans="1:11" ht="15" thickBot="1" x14ac:dyDescent="0.35">
      <c r="A162" s="4" t="s">
        <v>70</v>
      </c>
      <c r="B162" s="1" t="s">
        <v>53</v>
      </c>
      <c r="C162" s="1" t="s">
        <v>24</v>
      </c>
      <c r="D162" s="1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5">
        <v>649.04999999999995</v>
      </c>
      <c r="J162" s="2" t="str">
        <f t="shared" ref="J162:J193" si="10">TEXT(H162,"mmm")</f>
        <v>Jan</v>
      </c>
      <c r="K162" s="23">
        <f t="shared" ref="K162:K193" si="11">E162*(1-$N$2)</f>
        <v>1135.8339999999998</v>
      </c>
    </row>
    <row r="163" spans="1:11" ht="15" thickBot="1" x14ac:dyDescent="0.35">
      <c r="A163" s="4" t="s">
        <v>75</v>
      </c>
      <c r="B163" s="1" t="s">
        <v>48</v>
      </c>
      <c r="C163" s="1" t="s">
        <v>24</v>
      </c>
      <c r="D163" s="1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5">
        <v>205</v>
      </c>
      <c r="J163" s="2" t="str">
        <f t="shared" si="10"/>
        <v>Jan</v>
      </c>
      <c r="K163" s="23">
        <f t="shared" si="11"/>
        <v>448.44799999999998</v>
      </c>
    </row>
    <row r="164" spans="1:11" ht="15" thickBot="1" x14ac:dyDescent="0.35">
      <c r="A164" s="4" t="s">
        <v>22</v>
      </c>
      <c r="B164" s="1" t="s">
        <v>43</v>
      </c>
      <c r="C164" s="1" t="s">
        <v>11</v>
      </c>
      <c r="D164" s="1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5">
        <v>263.32</v>
      </c>
      <c r="J164" s="2" t="str">
        <f t="shared" si="10"/>
        <v>Jan</v>
      </c>
      <c r="K164" s="23">
        <f t="shared" si="11"/>
        <v>409.61199999999997</v>
      </c>
    </row>
    <row r="165" spans="1:11" ht="15" thickBot="1" x14ac:dyDescent="0.35">
      <c r="A165" s="4" t="s">
        <v>22</v>
      </c>
      <c r="B165" s="1" t="s">
        <v>31</v>
      </c>
      <c r="C165" s="1" t="s">
        <v>18</v>
      </c>
      <c r="D165" s="1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5">
        <v>443.99</v>
      </c>
      <c r="J165" s="2" t="str">
        <f t="shared" si="10"/>
        <v>Feb</v>
      </c>
      <c r="K165" s="23">
        <f t="shared" si="11"/>
        <v>776.98599999999999</v>
      </c>
    </row>
    <row r="166" spans="1:11" ht="15" thickBot="1" x14ac:dyDescent="0.35">
      <c r="A166" s="4" t="s">
        <v>58</v>
      </c>
      <c r="B166" s="1" t="s">
        <v>45</v>
      </c>
      <c r="C166" s="1" t="s">
        <v>18</v>
      </c>
      <c r="D166" s="1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5">
        <v>395.31</v>
      </c>
      <c r="J166" s="2" t="str">
        <f t="shared" si="10"/>
        <v>Feb</v>
      </c>
      <c r="K166" s="23">
        <f t="shared" si="11"/>
        <v>768.65599999999995</v>
      </c>
    </row>
    <row r="167" spans="1:11" ht="15" thickBot="1" x14ac:dyDescent="0.35">
      <c r="A167" s="4" t="s">
        <v>65</v>
      </c>
      <c r="B167" s="1" t="s">
        <v>48</v>
      </c>
      <c r="C167" s="1" t="s">
        <v>11</v>
      </c>
      <c r="D167" s="1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5">
        <v>335.04</v>
      </c>
      <c r="J167" s="2" t="str">
        <f t="shared" si="10"/>
        <v>Feb</v>
      </c>
      <c r="K167" s="23">
        <f t="shared" si="11"/>
        <v>579.07499999999993</v>
      </c>
    </row>
    <row r="168" spans="1:11" ht="15" thickBot="1" x14ac:dyDescent="0.35">
      <c r="A168" s="4" t="s">
        <v>70</v>
      </c>
      <c r="B168" s="1" t="s">
        <v>29</v>
      </c>
      <c r="C168" s="1" t="s">
        <v>34</v>
      </c>
      <c r="D168" s="1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5">
        <v>333.85</v>
      </c>
      <c r="J168" s="2" t="str">
        <f t="shared" si="10"/>
        <v>Feb</v>
      </c>
      <c r="K168" s="23">
        <f t="shared" si="11"/>
        <v>519.31599999999992</v>
      </c>
    </row>
    <row r="169" spans="1:11" ht="15" thickBot="1" x14ac:dyDescent="0.35">
      <c r="A169" s="4" t="s">
        <v>72</v>
      </c>
      <c r="B169" s="1" t="s">
        <v>10</v>
      </c>
      <c r="C169" s="1" t="s">
        <v>18</v>
      </c>
      <c r="D169" s="1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5">
        <v>531.05999999999995</v>
      </c>
      <c r="J169" s="2" t="str">
        <f t="shared" si="10"/>
        <v>Feb</v>
      </c>
      <c r="K169" s="23">
        <f t="shared" si="11"/>
        <v>917.88199999999995</v>
      </c>
    </row>
    <row r="170" spans="1:11" ht="15" thickBot="1" x14ac:dyDescent="0.35">
      <c r="A170" s="4" t="s">
        <v>72</v>
      </c>
      <c r="B170" s="1" t="s">
        <v>31</v>
      </c>
      <c r="C170" s="1" t="s">
        <v>20</v>
      </c>
      <c r="D170" s="1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5">
        <v>232.19</v>
      </c>
      <c r="J170" s="2" t="str">
        <f t="shared" si="10"/>
        <v>Feb</v>
      </c>
      <c r="K170" s="23">
        <f t="shared" si="11"/>
        <v>401.32400000000001</v>
      </c>
    </row>
    <row r="171" spans="1:11" ht="15" thickBot="1" x14ac:dyDescent="0.35">
      <c r="A171" s="4" t="s">
        <v>52</v>
      </c>
      <c r="B171" s="1" t="s">
        <v>23</v>
      </c>
      <c r="C171" s="1" t="s">
        <v>11</v>
      </c>
      <c r="D171" s="1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5">
        <v>223.04</v>
      </c>
      <c r="J171" s="2" t="str">
        <f t="shared" si="10"/>
        <v>Feb</v>
      </c>
      <c r="K171" s="23">
        <f t="shared" si="11"/>
        <v>780.654</v>
      </c>
    </row>
    <row r="172" spans="1:11" ht="15" thickBot="1" x14ac:dyDescent="0.35">
      <c r="A172" s="4" t="s">
        <v>13</v>
      </c>
      <c r="B172" s="1" t="s">
        <v>45</v>
      </c>
      <c r="C172" s="1" t="s">
        <v>24</v>
      </c>
      <c r="D172" s="1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5">
        <v>422.92</v>
      </c>
      <c r="J172" s="2" t="str">
        <f t="shared" si="10"/>
        <v>Feb</v>
      </c>
      <c r="K172" s="23">
        <f t="shared" si="11"/>
        <v>592.08799999999997</v>
      </c>
    </row>
    <row r="173" spans="1:11" ht="15" thickBot="1" x14ac:dyDescent="0.35">
      <c r="A173" s="4" t="s">
        <v>30</v>
      </c>
      <c r="B173" s="1" t="s">
        <v>55</v>
      </c>
      <c r="C173" s="1" t="s">
        <v>11</v>
      </c>
      <c r="D173" s="1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5">
        <v>257.45</v>
      </c>
      <c r="J173" s="2" t="str">
        <f t="shared" si="10"/>
        <v>Feb</v>
      </c>
      <c r="K173" s="23">
        <f t="shared" si="11"/>
        <v>720.8599999999999</v>
      </c>
    </row>
    <row r="174" spans="1:11" ht="15" thickBot="1" x14ac:dyDescent="0.35">
      <c r="A174" s="4" t="s">
        <v>32</v>
      </c>
      <c r="B174" s="1" t="s">
        <v>31</v>
      </c>
      <c r="C174" s="1" t="s">
        <v>24</v>
      </c>
      <c r="D174" s="1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5">
        <v>380.75</v>
      </c>
      <c r="J174" s="2" t="str">
        <f t="shared" si="10"/>
        <v>Feb</v>
      </c>
      <c r="K174" s="23">
        <f t="shared" si="11"/>
        <v>832.88099999999986</v>
      </c>
    </row>
    <row r="175" spans="1:11" ht="15" thickBot="1" x14ac:dyDescent="0.35">
      <c r="A175" s="4" t="s">
        <v>67</v>
      </c>
      <c r="B175" s="1" t="s">
        <v>43</v>
      </c>
      <c r="C175" s="1" t="s">
        <v>20</v>
      </c>
      <c r="D175" s="1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5">
        <v>225.37</v>
      </c>
      <c r="J175" s="2" t="str">
        <f t="shared" si="10"/>
        <v>Feb</v>
      </c>
      <c r="K175" s="23">
        <f t="shared" si="11"/>
        <v>492.99599999999992</v>
      </c>
    </row>
    <row r="176" spans="1:11" ht="15" thickBot="1" x14ac:dyDescent="0.35">
      <c r="A176" s="4" t="s">
        <v>65</v>
      </c>
      <c r="B176" s="1" t="s">
        <v>47</v>
      </c>
      <c r="C176" s="1" t="s">
        <v>34</v>
      </c>
      <c r="D176" s="1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5">
        <v>582.55999999999995</v>
      </c>
      <c r="J176" s="2" t="str">
        <f t="shared" si="10"/>
        <v>Feb</v>
      </c>
      <c r="K176" s="23">
        <f t="shared" si="11"/>
        <v>1132.7539999999999</v>
      </c>
    </row>
    <row r="177" spans="1:11" ht="15" thickBot="1" x14ac:dyDescent="0.35">
      <c r="A177" s="4" t="s">
        <v>73</v>
      </c>
      <c r="B177" s="1" t="s">
        <v>53</v>
      </c>
      <c r="C177" s="1" t="s">
        <v>34</v>
      </c>
      <c r="D177" s="1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5">
        <v>344.91</v>
      </c>
      <c r="J177" s="2" t="str">
        <f t="shared" si="10"/>
        <v>Feb</v>
      </c>
      <c r="K177" s="23">
        <f t="shared" si="11"/>
        <v>710.10099999999989</v>
      </c>
    </row>
    <row r="178" spans="1:11" ht="15" thickBot="1" x14ac:dyDescent="0.35">
      <c r="A178" s="4" t="s">
        <v>75</v>
      </c>
      <c r="B178" s="1" t="s">
        <v>31</v>
      </c>
      <c r="C178" s="1" t="s">
        <v>34</v>
      </c>
      <c r="D178" s="1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5">
        <v>330.79</v>
      </c>
      <c r="J178" s="2" t="str">
        <f t="shared" si="10"/>
        <v>Feb</v>
      </c>
      <c r="K178" s="23">
        <f t="shared" si="11"/>
        <v>578.87900000000002</v>
      </c>
    </row>
    <row r="179" spans="1:11" ht="15" thickBot="1" x14ac:dyDescent="0.35">
      <c r="A179" s="4" t="s">
        <v>16</v>
      </c>
      <c r="B179" s="1" t="s">
        <v>31</v>
      </c>
      <c r="C179" s="1" t="s">
        <v>34</v>
      </c>
      <c r="D179" s="1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5">
        <v>460</v>
      </c>
      <c r="J179" s="2" t="str">
        <f t="shared" si="10"/>
        <v>Mar</v>
      </c>
      <c r="K179" s="23">
        <f t="shared" si="11"/>
        <v>715.56099999999992</v>
      </c>
    </row>
    <row r="180" spans="1:11" ht="15" thickBot="1" x14ac:dyDescent="0.35">
      <c r="A180" s="4" t="s">
        <v>72</v>
      </c>
      <c r="B180" s="1" t="s">
        <v>29</v>
      </c>
      <c r="C180" s="1" t="s">
        <v>18</v>
      </c>
      <c r="D180" s="1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5">
        <v>439.88</v>
      </c>
      <c r="J180" s="2" t="str">
        <f t="shared" si="10"/>
        <v>Mar</v>
      </c>
      <c r="K180" s="23">
        <f t="shared" si="11"/>
        <v>769.78300000000002</v>
      </c>
    </row>
    <row r="181" spans="1:11" ht="15" thickBot="1" x14ac:dyDescent="0.35">
      <c r="A181" s="4" t="s">
        <v>52</v>
      </c>
      <c r="B181" s="1" t="s">
        <v>64</v>
      </c>
      <c r="C181" s="1" t="s">
        <v>24</v>
      </c>
      <c r="D181" s="1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5">
        <v>255.79</v>
      </c>
      <c r="J181" s="2" t="str">
        <f t="shared" si="10"/>
        <v>Mar</v>
      </c>
      <c r="K181" s="23">
        <f t="shared" si="11"/>
        <v>497.36399999999998</v>
      </c>
    </row>
    <row r="182" spans="1:11" ht="15" thickBot="1" x14ac:dyDescent="0.35">
      <c r="A182" s="4" t="s">
        <v>52</v>
      </c>
      <c r="B182" s="1" t="s">
        <v>59</v>
      </c>
      <c r="C182" s="1" t="s">
        <v>24</v>
      </c>
      <c r="D182" s="1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5">
        <v>159.74</v>
      </c>
      <c r="J182" s="2" t="str">
        <f t="shared" si="10"/>
        <v>Mar</v>
      </c>
      <c r="K182" s="23">
        <f t="shared" si="11"/>
        <v>349.42599999999999</v>
      </c>
    </row>
    <row r="183" spans="1:11" ht="15" thickBot="1" x14ac:dyDescent="0.35">
      <c r="A183" s="4" t="s">
        <v>37</v>
      </c>
      <c r="B183" s="1" t="s">
        <v>38</v>
      </c>
      <c r="C183" s="1" t="s">
        <v>20</v>
      </c>
      <c r="D183" s="1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5">
        <v>404.39</v>
      </c>
      <c r="J183" s="2" t="str">
        <f t="shared" si="10"/>
        <v>Mar</v>
      </c>
      <c r="K183" s="23">
        <f t="shared" si="11"/>
        <v>744.93299999999999</v>
      </c>
    </row>
    <row r="184" spans="1:11" ht="15" thickBot="1" x14ac:dyDescent="0.35">
      <c r="A184" s="4" t="s">
        <v>67</v>
      </c>
      <c r="B184" s="1" t="s">
        <v>38</v>
      </c>
      <c r="C184" s="1" t="s">
        <v>18</v>
      </c>
      <c r="D184" s="1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5">
        <v>187.57</v>
      </c>
      <c r="J184" s="2" t="str">
        <f t="shared" si="10"/>
        <v>Mar</v>
      </c>
      <c r="K184" s="23">
        <f t="shared" si="11"/>
        <v>307.13199999999995</v>
      </c>
    </row>
    <row r="185" spans="1:11" ht="15" thickBot="1" x14ac:dyDescent="0.35">
      <c r="A185" s="4" t="s">
        <v>41</v>
      </c>
      <c r="B185" s="1" t="s">
        <v>55</v>
      </c>
      <c r="C185" s="1" t="s">
        <v>11</v>
      </c>
      <c r="D185" s="1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5">
        <v>410.87</v>
      </c>
      <c r="J185" s="2" t="str">
        <f t="shared" si="10"/>
        <v>Mar</v>
      </c>
      <c r="K185" s="23">
        <f t="shared" si="11"/>
        <v>605.48599999999999</v>
      </c>
    </row>
    <row r="186" spans="1:11" ht="15" thickBot="1" x14ac:dyDescent="0.35">
      <c r="A186" s="4" t="s">
        <v>57</v>
      </c>
      <c r="B186" s="1" t="s">
        <v>55</v>
      </c>
      <c r="C186" s="1" t="s">
        <v>11</v>
      </c>
      <c r="D186" s="1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5">
        <v>275.77999999999997</v>
      </c>
      <c r="J186" s="2" t="str">
        <f t="shared" si="10"/>
        <v>Mar</v>
      </c>
      <c r="K186" s="23">
        <f t="shared" si="11"/>
        <v>689.45099999999991</v>
      </c>
    </row>
    <row r="187" spans="1:11" ht="15" thickBot="1" x14ac:dyDescent="0.35">
      <c r="A187" s="4" t="s">
        <v>25</v>
      </c>
      <c r="B187" s="1" t="s">
        <v>55</v>
      </c>
      <c r="C187" s="1" t="s">
        <v>11</v>
      </c>
      <c r="D187" s="1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5">
        <v>746.74</v>
      </c>
      <c r="J187" s="2" t="str">
        <f t="shared" si="10"/>
        <v>Mar</v>
      </c>
      <c r="K187" s="23">
        <f t="shared" si="11"/>
        <v>1045.443</v>
      </c>
    </row>
    <row r="188" spans="1:11" ht="15" thickBot="1" x14ac:dyDescent="0.35">
      <c r="A188" s="4" t="s">
        <v>32</v>
      </c>
      <c r="B188" s="1" t="s">
        <v>53</v>
      </c>
      <c r="C188" s="1" t="s">
        <v>20</v>
      </c>
      <c r="D188" s="1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5">
        <v>310.24</v>
      </c>
      <c r="J188" s="2" t="str">
        <f t="shared" si="10"/>
        <v>Mar</v>
      </c>
      <c r="K188" s="23">
        <f t="shared" si="11"/>
        <v>482.60099999999994</v>
      </c>
    </row>
    <row r="189" spans="1:11" ht="15" thickBot="1" x14ac:dyDescent="0.35">
      <c r="A189" s="4" t="s">
        <v>40</v>
      </c>
      <c r="B189" s="1" t="s">
        <v>59</v>
      </c>
      <c r="C189" s="1" t="s">
        <v>20</v>
      </c>
      <c r="D189" s="1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5">
        <v>341.12</v>
      </c>
      <c r="J189" s="2" t="str">
        <f t="shared" si="10"/>
        <v>Mar</v>
      </c>
      <c r="K189" s="23">
        <f t="shared" si="11"/>
        <v>477.56799999999998</v>
      </c>
    </row>
    <row r="190" spans="1:11" ht="15" thickBot="1" x14ac:dyDescent="0.35">
      <c r="A190" s="4" t="s">
        <v>41</v>
      </c>
      <c r="B190" s="1" t="s">
        <v>26</v>
      </c>
      <c r="C190" s="1" t="s">
        <v>24</v>
      </c>
      <c r="D190" s="1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5">
        <v>91.71</v>
      </c>
      <c r="J190" s="2" t="str">
        <f t="shared" si="10"/>
        <v>Mar</v>
      </c>
      <c r="K190" s="23">
        <f t="shared" si="11"/>
        <v>320.97800000000001</v>
      </c>
    </row>
    <row r="191" spans="1:11" ht="15" thickBot="1" x14ac:dyDescent="0.35">
      <c r="A191" s="4" t="s">
        <v>32</v>
      </c>
      <c r="B191" s="1" t="s">
        <v>26</v>
      </c>
      <c r="C191" s="1" t="s">
        <v>20</v>
      </c>
      <c r="D191" s="1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5">
        <v>331.59</v>
      </c>
      <c r="J191" s="2" t="str">
        <f t="shared" si="10"/>
        <v>Mar</v>
      </c>
      <c r="K191" s="23">
        <f t="shared" si="11"/>
        <v>828.97499999999991</v>
      </c>
    </row>
    <row r="192" spans="1:11" ht="15" thickBot="1" x14ac:dyDescent="0.35">
      <c r="A192" s="4" t="s">
        <v>25</v>
      </c>
      <c r="B192" s="1" t="s">
        <v>10</v>
      </c>
      <c r="C192" s="1" t="s">
        <v>20</v>
      </c>
      <c r="D192" s="1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5">
        <v>381.07</v>
      </c>
      <c r="J192" s="2" t="str">
        <f t="shared" si="10"/>
        <v>Mar</v>
      </c>
      <c r="K192" s="23">
        <f t="shared" si="11"/>
        <v>533.49799999999993</v>
      </c>
    </row>
    <row r="193" spans="1:11" ht="15" thickBot="1" x14ac:dyDescent="0.35">
      <c r="A193" s="4" t="s">
        <v>22</v>
      </c>
      <c r="B193" s="1" t="s">
        <v>53</v>
      </c>
      <c r="C193" s="1" t="s">
        <v>24</v>
      </c>
      <c r="D193" s="1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5">
        <v>255.24</v>
      </c>
      <c r="J193" s="2" t="str">
        <f t="shared" si="10"/>
        <v>Mar</v>
      </c>
      <c r="K193" s="23">
        <f t="shared" si="11"/>
        <v>525.49699999999996</v>
      </c>
    </row>
    <row r="194" spans="1:11" ht="15" thickBot="1" x14ac:dyDescent="0.35">
      <c r="A194" s="4" t="s">
        <v>75</v>
      </c>
      <c r="B194" s="1" t="s">
        <v>71</v>
      </c>
      <c r="C194" s="1" t="s">
        <v>34</v>
      </c>
      <c r="D194" s="1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5">
        <v>692.05</v>
      </c>
      <c r="J194" s="2" t="str">
        <f t="shared" ref="J194:J201" si="12">TEXT(H194,"mmm")</f>
        <v>Mar</v>
      </c>
      <c r="K194" s="23">
        <f t="shared" ref="K194:K201" si="13">E194*(1-$N$2)</f>
        <v>1019.8579999999999</v>
      </c>
    </row>
    <row r="195" spans="1:11" ht="15" thickBot="1" x14ac:dyDescent="0.35">
      <c r="A195" s="4" t="s">
        <v>44</v>
      </c>
      <c r="B195" s="1" t="s">
        <v>61</v>
      </c>
      <c r="C195" s="1" t="s">
        <v>18</v>
      </c>
      <c r="D195" s="1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5">
        <v>344.41</v>
      </c>
      <c r="J195" s="2" t="str">
        <f t="shared" si="12"/>
        <v>Mar</v>
      </c>
      <c r="K195" s="23">
        <f t="shared" si="13"/>
        <v>765.36599999999999</v>
      </c>
    </row>
    <row r="196" spans="1:11" ht="15" thickBot="1" x14ac:dyDescent="0.35">
      <c r="A196" s="4" t="s">
        <v>37</v>
      </c>
      <c r="B196" s="1" t="s">
        <v>43</v>
      </c>
      <c r="C196" s="1" t="s">
        <v>11</v>
      </c>
      <c r="D196" s="1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5">
        <v>397.06</v>
      </c>
      <c r="J196" s="2" t="str">
        <f t="shared" si="12"/>
        <v>Mar</v>
      </c>
      <c r="K196" s="23">
        <f t="shared" si="13"/>
        <v>653.98899999999992</v>
      </c>
    </row>
    <row r="197" spans="1:11" ht="15" thickBot="1" x14ac:dyDescent="0.35">
      <c r="A197" s="4" t="s">
        <v>70</v>
      </c>
      <c r="B197" s="1" t="s">
        <v>36</v>
      </c>
      <c r="C197" s="1" t="s">
        <v>34</v>
      </c>
      <c r="D197" s="1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5">
        <v>586.14</v>
      </c>
      <c r="J197" s="2" t="str">
        <f t="shared" si="12"/>
        <v>Mar</v>
      </c>
      <c r="K197" s="23">
        <f t="shared" si="13"/>
        <v>1025.7449999999999</v>
      </c>
    </row>
    <row r="198" spans="1:11" ht="15" thickBot="1" x14ac:dyDescent="0.35">
      <c r="A198" s="4" t="s">
        <v>52</v>
      </c>
      <c r="B198" s="1" t="s">
        <v>14</v>
      </c>
      <c r="C198" s="1" t="s">
        <v>20</v>
      </c>
      <c r="D198" s="1" t="s">
        <v>39</v>
      </c>
      <c r="E198" s="2">
        <v>740.8</v>
      </c>
      <c r="F198" s="2">
        <v>3</v>
      </c>
      <c r="G198" s="2">
        <v>0</v>
      </c>
      <c r="H198" s="3">
        <v>45749</v>
      </c>
      <c r="I198" s="5">
        <v>333.36</v>
      </c>
      <c r="J198" s="2" t="str">
        <f t="shared" si="12"/>
        <v>Apr</v>
      </c>
      <c r="K198" s="23">
        <f t="shared" si="13"/>
        <v>518.55999999999995</v>
      </c>
    </row>
    <row r="199" spans="1:11" ht="15" thickBot="1" x14ac:dyDescent="0.35">
      <c r="A199" s="4" t="s">
        <v>58</v>
      </c>
      <c r="B199" s="1" t="s">
        <v>43</v>
      </c>
      <c r="C199" s="1" t="s">
        <v>11</v>
      </c>
      <c r="D199" s="1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5">
        <v>245.45</v>
      </c>
      <c r="J199" s="2" t="str">
        <f t="shared" si="12"/>
        <v>Apr</v>
      </c>
      <c r="K199" s="23">
        <f t="shared" si="13"/>
        <v>381.80799999999999</v>
      </c>
    </row>
    <row r="200" spans="1:11" ht="15" thickBot="1" x14ac:dyDescent="0.35">
      <c r="A200" s="4" t="s">
        <v>35</v>
      </c>
      <c r="B200" s="1" t="s">
        <v>36</v>
      </c>
      <c r="C200" s="1" t="s">
        <v>18</v>
      </c>
      <c r="D200" s="1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5">
        <v>379.09</v>
      </c>
      <c r="J200" s="2" t="str">
        <f t="shared" si="12"/>
        <v>Apr</v>
      </c>
      <c r="K200" s="23">
        <f t="shared" si="13"/>
        <v>698.327</v>
      </c>
    </row>
    <row r="201" spans="1:11" x14ac:dyDescent="0.3">
      <c r="A201" s="9" t="s">
        <v>60</v>
      </c>
      <c r="B201" s="10" t="s">
        <v>36</v>
      </c>
      <c r="C201" s="10" t="s">
        <v>20</v>
      </c>
      <c r="D201" s="10" t="s">
        <v>15</v>
      </c>
      <c r="E201" s="11">
        <v>928.32</v>
      </c>
      <c r="F201" s="11">
        <v>2</v>
      </c>
      <c r="G201" s="11">
        <v>0.05</v>
      </c>
      <c r="H201" s="12">
        <v>45754</v>
      </c>
      <c r="I201" s="13">
        <v>440.95</v>
      </c>
      <c r="J201" s="11" t="str">
        <f t="shared" si="12"/>
        <v>Apr</v>
      </c>
      <c r="K201" s="23">
        <f t="shared" si="13"/>
        <v>649.82399999999996</v>
      </c>
    </row>
  </sheetData>
  <autoFilter ref="M7:M10" xr:uid="{CDF0C0E7-341C-41A6-8ACB-24D94B428DDE}">
    <sortState xmlns:xlrd2="http://schemas.microsoft.com/office/spreadsheetml/2017/richdata2" ref="M8:N10">
      <sortCondition descending="1" ref="M7:M10"/>
    </sortState>
  </autoFilter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B27E-49DF-4B74-8C52-DCE8325DE00C}">
  <dimension ref="A1:B29"/>
  <sheetViews>
    <sheetView workbookViewId="0">
      <selection activeCell="B1" sqref="B1"/>
    </sheetView>
  </sheetViews>
  <sheetFormatPr defaultRowHeight="14.4" x14ac:dyDescent="0.3"/>
  <cols>
    <col min="1" max="1" width="15.44140625" bestFit="1" customWidth="1"/>
    <col min="2" max="2" width="11.5546875" bestFit="1" customWidth="1"/>
  </cols>
  <sheetData>
    <row r="1" spans="1:2" x14ac:dyDescent="0.3">
      <c r="A1" s="14" t="s">
        <v>76</v>
      </c>
      <c r="B1" t="s">
        <v>78</v>
      </c>
    </row>
    <row r="2" spans="1:2" x14ac:dyDescent="0.3">
      <c r="A2" s="15" t="s">
        <v>71</v>
      </c>
      <c r="B2">
        <v>5465.71</v>
      </c>
    </row>
    <row r="3" spans="1:2" x14ac:dyDescent="0.3">
      <c r="A3" s="15" t="s">
        <v>55</v>
      </c>
      <c r="B3">
        <v>11915.829999999998</v>
      </c>
    </row>
    <row r="4" spans="1:2" x14ac:dyDescent="0.3">
      <c r="A4" s="15" t="s">
        <v>56</v>
      </c>
      <c r="B4">
        <v>3819.1400000000003</v>
      </c>
    </row>
    <row r="5" spans="1:2" x14ac:dyDescent="0.3">
      <c r="A5" s="15" t="s">
        <v>42</v>
      </c>
      <c r="B5">
        <v>1672.88</v>
      </c>
    </row>
    <row r="6" spans="1:2" x14ac:dyDescent="0.3">
      <c r="A6" s="15" t="s">
        <v>36</v>
      </c>
      <c r="B6">
        <v>7020.3799999999992</v>
      </c>
    </row>
    <row r="7" spans="1:2" x14ac:dyDescent="0.3">
      <c r="A7" s="15" t="s">
        <v>38</v>
      </c>
      <c r="B7">
        <v>11398.32</v>
      </c>
    </row>
    <row r="8" spans="1:2" x14ac:dyDescent="0.3">
      <c r="A8" s="15" t="s">
        <v>66</v>
      </c>
      <c r="B8">
        <v>5014.96</v>
      </c>
    </row>
    <row r="9" spans="1:2" x14ac:dyDescent="0.3">
      <c r="A9" s="15" t="s">
        <v>61</v>
      </c>
      <c r="B9">
        <v>8543.9699999999993</v>
      </c>
    </row>
    <row r="10" spans="1:2" x14ac:dyDescent="0.3">
      <c r="A10" s="15" t="s">
        <v>10</v>
      </c>
      <c r="B10">
        <v>6255.7</v>
      </c>
    </row>
    <row r="11" spans="1:2" x14ac:dyDescent="0.3">
      <c r="A11" s="15" t="s">
        <v>17</v>
      </c>
      <c r="B11">
        <v>5615.2800000000007</v>
      </c>
    </row>
    <row r="12" spans="1:2" x14ac:dyDescent="0.3">
      <c r="A12" s="15" t="s">
        <v>23</v>
      </c>
      <c r="B12">
        <v>20774.739999999998</v>
      </c>
    </row>
    <row r="13" spans="1:2" x14ac:dyDescent="0.3">
      <c r="A13" s="15" t="s">
        <v>51</v>
      </c>
      <c r="B13">
        <v>1450.99</v>
      </c>
    </row>
    <row r="14" spans="1:2" x14ac:dyDescent="0.3">
      <c r="A14" s="15" t="s">
        <v>50</v>
      </c>
      <c r="B14">
        <v>5801.29</v>
      </c>
    </row>
    <row r="15" spans="1:2" x14ac:dyDescent="0.3">
      <c r="A15" s="15" t="s">
        <v>62</v>
      </c>
      <c r="B15">
        <v>856.7</v>
      </c>
    </row>
    <row r="16" spans="1:2" x14ac:dyDescent="0.3">
      <c r="A16" s="15" t="s">
        <v>33</v>
      </c>
      <c r="B16">
        <v>3968.59</v>
      </c>
    </row>
    <row r="17" spans="1:2" x14ac:dyDescent="0.3">
      <c r="A17" s="15" t="s">
        <v>69</v>
      </c>
      <c r="B17">
        <v>2304.9</v>
      </c>
    </row>
    <row r="18" spans="1:2" x14ac:dyDescent="0.3">
      <c r="A18" s="15" t="s">
        <v>53</v>
      </c>
      <c r="B18">
        <v>7522.77</v>
      </c>
    </row>
    <row r="19" spans="1:2" x14ac:dyDescent="0.3">
      <c r="A19" s="15" t="s">
        <v>29</v>
      </c>
      <c r="B19">
        <v>9970.1999999999989</v>
      </c>
    </row>
    <row r="20" spans="1:2" x14ac:dyDescent="0.3">
      <c r="A20" s="15" t="s">
        <v>48</v>
      </c>
      <c r="B20">
        <v>8090.12</v>
      </c>
    </row>
    <row r="21" spans="1:2" x14ac:dyDescent="0.3">
      <c r="A21" s="15" t="s">
        <v>45</v>
      </c>
      <c r="B21">
        <v>8635.9500000000007</v>
      </c>
    </row>
    <row r="22" spans="1:2" x14ac:dyDescent="0.3">
      <c r="A22" s="15" t="s">
        <v>31</v>
      </c>
      <c r="B22">
        <v>17143.289999999997</v>
      </c>
    </row>
    <row r="23" spans="1:2" x14ac:dyDescent="0.3">
      <c r="A23" s="15" t="s">
        <v>47</v>
      </c>
      <c r="B23">
        <v>7251.18</v>
      </c>
    </row>
    <row r="24" spans="1:2" x14ac:dyDescent="0.3">
      <c r="A24" s="15" t="s">
        <v>59</v>
      </c>
      <c r="B24">
        <v>5443.34</v>
      </c>
    </row>
    <row r="25" spans="1:2" x14ac:dyDescent="0.3">
      <c r="A25" s="15" t="s">
        <v>26</v>
      </c>
      <c r="B25">
        <v>7881.9</v>
      </c>
    </row>
    <row r="26" spans="1:2" x14ac:dyDescent="0.3">
      <c r="A26" s="15" t="s">
        <v>14</v>
      </c>
      <c r="B26">
        <v>8331.8499999999985</v>
      </c>
    </row>
    <row r="27" spans="1:2" x14ac:dyDescent="0.3">
      <c r="A27" s="15" t="s">
        <v>43</v>
      </c>
      <c r="B27">
        <v>7296.1900000000005</v>
      </c>
    </row>
    <row r="28" spans="1:2" x14ac:dyDescent="0.3">
      <c r="A28" s="15" t="s">
        <v>64</v>
      </c>
      <c r="B28">
        <v>5771.59</v>
      </c>
    </row>
    <row r="29" spans="1:2" x14ac:dyDescent="0.3">
      <c r="A29" s="15" t="s">
        <v>77</v>
      </c>
      <c r="B29">
        <v>195217.75999999998</v>
      </c>
    </row>
  </sheetData>
  <conditionalFormatting sqref="A1">
    <cfRule type="top10" dxfId="2" priority="3" rank="10"/>
  </conditionalFormatting>
  <conditionalFormatting sqref="A1:B1 A2:A28">
    <cfRule type="top10" dxfId="1" priority="2" rank="10"/>
  </conditionalFormatting>
  <conditionalFormatting sqref="A2:B28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 stats</vt:lpstr>
      <vt:lpstr>regression</vt:lpstr>
      <vt:lpstr>month_wise sales</vt:lpstr>
      <vt:lpstr>region_wise sales</vt:lpstr>
      <vt:lpstr>dataset</vt:lpstr>
      <vt:lpstr>person_wise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24BCP130KenilS</dc:creator>
  <cp:lastModifiedBy>24BCP130KenilS</cp:lastModifiedBy>
  <dcterms:created xsi:type="dcterms:W3CDTF">2026-07-28T05:04:55Z</dcterms:created>
  <dcterms:modified xsi:type="dcterms:W3CDTF">2026-08-08T05:48:19Z</dcterms:modified>
</cp:coreProperties>
</file>