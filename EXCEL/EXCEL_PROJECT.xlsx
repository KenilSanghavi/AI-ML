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nil\Documents\AI-ML\EXCEL\"/>
    </mc:Choice>
  </mc:AlternateContent>
  <xr:revisionPtr revIDLastSave="0" documentId="13_ncr:1_{C783F56B-C13A-41B8-BC5D-5D3B9B7D5C81}" xr6:coauthVersionLast="47" xr6:coauthVersionMax="47" xr10:uidLastSave="{00000000-0000-0000-0000-000000000000}"/>
  <bookViews>
    <workbookView xWindow="-108" yWindow="-108" windowWidth="23256" windowHeight="12456" xr2:uid="{C3C8FA00-A421-44F4-B623-E8CB3575F72D}"/>
  </bookViews>
  <sheets>
    <sheet name="STUDENT" sheetId="1" r:id="rId1"/>
    <sheet name="SALES" sheetId="2" r:id="rId2"/>
    <sheet name="EMPLOYEE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G25" i="2" l="1"/>
  <c r="H2" i="3"/>
  <c r="E26" i="3" a="1"/>
  <c r="E26" i="3" s="1"/>
  <c r="G30" i="2" a="1"/>
  <c r="G30" i="2" s="1"/>
  <c r="G28" i="2"/>
  <c r="G31" i="3" a="1"/>
  <c r="G31" i="3" s="1"/>
  <c r="H29" i="3"/>
  <c r="H27" i="3"/>
  <c r="H26" i="3"/>
  <c r="H25" i="3"/>
  <c r="G27" i="2" a="1"/>
  <c r="G27" i="2" s="1"/>
  <c r="G26" i="2"/>
  <c r="I26" i="1"/>
  <c r="I25" i="1"/>
  <c r="G24" i="2"/>
  <c r="I24" i="1"/>
  <c r="H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G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J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C26" i="3" a="1"/>
  <c r="C26" i="3" s="1"/>
  <c r="A26" i="3" a="1"/>
  <c r="A26" i="3" s="1"/>
  <c r="G2" i="3" a="1"/>
  <c r="G2" i="3"/>
  <c r="A25" i="2" a="1"/>
  <c r="A25" i="2" s="1"/>
  <c r="A24" i="1"/>
  <c r="G2" i="1"/>
  <c r="H2" i="1" s="1"/>
  <c r="I2" i="1" s="1"/>
  <c r="G3" i="1"/>
  <c r="H3" i="1" s="1"/>
  <c r="I3" i="1" s="1"/>
  <c r="G4" i="1"/>
  <c r="H4" i="1" s="1"/>
  <c r="I4" i="1" s="1"/>
  <c r="G5" i="1"/>
  <c r="H5" i="1" s="1"/>
  <c r="I5" i="1" s="1"/>
  <c r="G6" i="1"/>
  <c r="H6" i="1" s="1"/>
  <c r="I6" i="1" s="1"/>
  <c r="G7" i="1"/>
  <c r="H7" i="1" s="1"/>
  <c r="I7" i="1" s="1"/>
  <c r="G8" i="1"/>
  <c r="H8" i="1" s="1"/>
  <c r="I8" i="1" s="1"/>
  <c r="G9" i="1"/>
  <c r="H9" i="1" s="1"/>
  <c r="I9" i="1" s="1"/>
  <c r="G10" i="1"/>
  <c r="H10" i="1" s="1"/>
  <c r="I10" i="1" s="1"/>
  <c r="G11" i="1"/>
  <c r="H11" i="1" s="1"/>
  <c r="I11" i="1" s="1"/>
  <c r="G12" i="1"/>
  <c r="H12" i="1" s="1"/>
  <c r="I12" i="1" s="1"/>
  <c r="G13" i="1"/>
  <c r="H13" i="1" s="1"/>
  <c r="I13" i="1" s="1"/>
  <c r="G14" i="1"/>
  <c r="H14" i="1" s="1"/>
  <c r="I14" i="1" s="1"/>
  <c r="G15" i="1"/>
  <c r="H15" i="1" s="1"/>
  <c r="I15" i="1" s="1"/>
  <c r="G16" i="1"/>
  <c r="H16" i="1" s="1"/>
  <c r="I16" i="1" s="1"/>
  <c r="G17" i="1"/>
  <c r="H17" i="1" s="1"/>
  <c r="I17" i="1" s="1"/>
  <c r="G18" i="1"/>
  <c r="H18" i="1" s="1"/>
  <c r="I18" i="1" s="1"/>
  <c r="G19" i="1"/>
  <c r="H19" i="1" s="1"/>
  <c r="I19" i="1" s="1"/>
  <c r="G20" i="1"/>
  <c r="H20" i="1" s="1"/>
  <c r="I20" i="1" s="1"/>
  <c r="G21" i="1"/>
  <c r="H21" i="1" s="1"/>
  <c r="I21" i="1" s="1"/>
  <c r="G29" i="2"/>
  <c r="A28" i="1" l="1" a="1"/>
  <c r="A28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<sst xmlns="http://schemas.openxmlformats.org/spreadsheetml/2006/main" count="169" uniqueCount="120">
  <si>
    <t>Student ID</t>
  </si>
  <si>
    <t>Name</t>
  </si>
  <si>
    <t>Math</t>
  </si>
  <si>
    <t>Science</t>
  </si>
  <si>
    <t>English</t>
  </si>
  <si>
    <t>Enrollment Date</t>
  </si>
  <si>
    <t>Student 1</t>
  </si>
  <si>
    <t>Student 2</t>
  </si>
  <si>
    <t>Student 3</t>
  </si>
  <si>
    <t>Student 4</t>
  </si>
  <si>
    <t>Student 5</t>
  </si>
  <si>
    <t>Student 6</t>
  </si>
  <si>
    <t>Student 7</t>
  </si>
  <si>
    <t>Student 8</t>
  </si>
  <si>
    <t>Student 9</t>
  </si>
  <si>
    <t>Student 10</t>
  </si>
  <si>
    <t>Student 11</t>
  </si>
  <si>
    <t>Student 12</t>
  </si>
  <si>
    <t>Student 13</t>
  </si>
  <si>
    <t>Student 14</t>
  </si>
  <si>
    <t>Student 15</t>
  </si>
  <si>
    <t>Student 16</t>
  </si>
  <si>
    <t>Student 17</t>
  </si>
  <si>
    <t>Student 18</t>
  </si>
  <si>
    <t>Student 19</t>
  </si>
  <si>
    <t>Student 20</t>
  </si>
  <si>
    <t>Total marks</t>
  </si>
  <si>
    <t>Average</t>
  </si>
  <si>
    <t>Sales ID</t>
  </si>
  <si>
    <t>Product</t>
  </si>
  <si>
    <t>Region</t>
  </si>
  <si>
    <t>Salesperson</t>
  </si>
  <si>
    <t>Amount</t>
  </si>
  <si>
    <t>Date</t>
  </si>
  <si>
    <t>Keyboard</t>
  </si>
  <si>
    <t>South</t>
  </si>
  <si>
    <t>Person 1</t>
  </si>
  <si>
    <t>Printer</t>
  </si>
  <si>
    <t>West</t>
  </si>
  <si>
    <t>Person 2</t>
  </si>
  <si>
    <t>Mouse</t>
  </si>
  <si>
    <t>Person 3</t>
  </si>
  <si>
    <t>East</t>
  </si>
  <si>
    <t>Person 4</t>
  </si>
  <si>
    <t>North</t>
  </si>
  <si>
    <t>Person 5</t>
  </si>
  <si>
    <t>Person 6</t>
  </si>
  <si>
    <t>Person 7</t>
  </si>
  <si>
    <t>Person 8</t>
  </si>
  <si>
    <t>Person 9</t>
  </si>
  <si>
    <t>Person 10</t>
  </si>
  <si>
    <t>Person 11</t>
  </si>
  <si>
    <t>Monitor</t>
  </si>
  <si>
    <t>Person 12</t>
  </si>
  <si>
    <t>Laptop</t>
  </si>
  <si>
    <t>Person 13</t>
  </si>
  <si>
    <t>Person 14</t>
  </si>
  <si>
    <t>Person 15</t>
  </si>
  <si>
    <t>Person 16</t>
  </si>
  <si>
    <t>Person 17</t>
  </si>
  <si>
    <t>Person 18</t>
  </si>
  <si>
    <t>Person 19</t>
  </si>
  <si>
    <t>Person 20</t>
  </si>
  <si>
    <t>PRICE FROM ID</t>
  </si>
  <si>
    <t>Employee ID</t>
  </si>
  <si>
    <t>Department</t>
  </si>
  <si>
    <t>Salary</t>
  </si>
  <si>
    <t>Joining Date</t>
  </si>
  <si>
    <t>Employee 1</t>
  </si>
  <si>
    <t>Finance</t>
  </si>
  <si>
    <t>Employee 2</t>
  </si>
  <si>
    <t>Employee 3</t>
  </si>
  <si>
    <t>HR</t>
  </si>
  <si>
    <t>Employee 4</t>
  </si>
  <si>
    <t>Employee 5</t>
  </si>
  <si>
    <t>IT</t>
  </si>
  <si>
    <t>Employee 6</t>
  </si>
  <si>
    <t>Employee 7</t>
  </si>
  <si>
    <t>Marketing</t>
  </si>
  <si>
    <t>Employee 8</t>
  </si>
  <si>
    <t>Employee 9</t>
  </si>
  <si>
    <t>Employee 10</t>
  </si>
  <si>
    <t>Employee 11</t>
  </si>
  <si>
    <t>Employee 12</t>
  </si>
  <si>
    <t>Employee 13</t>
  </si>
  <si>
    <t>Employee 14</t>
  </si>
  <si>
    <t>Employee 15</t>
  </si>
  <si>
    <t>Employee 16</t>
  </si>
  <si>
    <t>Employee 17</t>
  </si>
  <si>
    <t>Employee 18</t>
  </si>
  <si>
    <t>Employee 19</t>
  </si>
  <si>
    <t>Employee 20</t>
  </si>
  <si>
    <t>SALARY USING XLOOKUP</t>
  </si>
  <si>
    <t>YEAR OF JOINING</t>
  </si>
  <si>
    <t>MONTH OF JOINING</t>
  </si>
  <si>
    <t>YEARS TILL TODAY</t>
  </si>
  <si>
    <t>COUNTIF WITH SCORE&gt;60</t>
  </si>
  <si>
    <t>FILTER</t>
  </si>
  <si>
    <t>essential tasks</t>
  </si>
  <si>
    <t>discount</t>
  </si>
  <si>
    <t>grade</t>
  </si>
  <si>
    <t>qualified</t>
  </si>
  <si>
    <t>eligible</t>
  </si>
  <si>
    <t>math&gt;50</t>
  </si>
  <si>
    <t>specific region</t>
  </si>
  <si>
    <t>specific product</t>
  </si>
  <si>
    <t>average &gt;60</t>
  </si>
  <si>
    <t>vlookup</t>
  </si>
  <si>
    <t>product code</t>
  </si>
  <si>
    <t>specific salesperson</t>
  </si>
  <si>
    <t>person 8</t>
  </si>
  <si>
    <t>month</t>
  </si>
  <si>
    <t>salesperson</t>
  </si>
  <si>
    <t>employee details</t>
  </si>
  <si>
    <t>first name</t>
  </si>
  <si>
    <t>upper name</t>
  </si>
  <si>
    <t>indirect</t>
  </si>
  <si>
    <t>xmatch</t>
  </si>
  <si>
    <t>A2:A4</t>
  </si>
  <si>
    <t>offset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</si>
</sst>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</fills>
  <borders count="12">
    <border>
      <left/>
      <right/>
      <top/>
      <bottom/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/>
      <top style="medium">
        <color rgb="FFCCCCCC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/>
      <top/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/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/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/>
      <right/>
      <top/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22" fontId="0" fillId="0" borderId="0" xfId="0" applyNumberFormat="1"/>
    <xf numFmtId="0" fontId="2" fillId="0" borderId="2" xfId="0" applyFont="1" applyBorder="1" applyAlignment="1">
      <alignment horizontal="center" vertical="center" wrapText="1"/>
    </xf>
    <xf numFmtId="22" fontId="2" fillId="0" borderId="3" xfId="0" applyNumberFormat="1" applyFont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22" fontId="2" fillId="0" borderId="9" xfId="0" applyNumberFormat="1" applyFont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10" fontId="2" fillId="0" borderId="11" xfId="0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</cellXfs>
  <cellStyles count="1">
    <cellStyle name="Normal" xfId="0" builtinId="0"/>
  </cellStyles>
  <dxfs count="1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alignment horizontal="center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000000"/>
        </right>
        <top style="medium">
          <color rgb="FFCCCCCC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27" formatCode="m/d/yyyy\ h:mm"/>
      <alignment horizontal="center" vertical="center" textRotation="0" wrapText="1" indent="0" justifyLastLine="0" shrinkToFit="0" readingOrder="0"/>
      <border diagonalUp="0" diagonalDown="0">
        <left style="medium">
          <color rgb="FFCCCCCC"/>
        </left>
        <right/>
        <top style="medium">
          <color rgb="FFCCCCCC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000000"/>
        </right>
        <top style="medium">
          <color rgb="FFCCCCCC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000000"/>
        </right>
        <top style="medium">
          <color rgb="FFCCCCCC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000000"/>
        </right>
        <top style="medium">
          <color rgb="FFCCCCCC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/>
        <right style="medium">
          <color rgb="FF000000"/>
        </right>
        <top style="medium">
          <color rgb="FFCCCCCC"/>
        </top>
        <bottom style="medium">
          <color rgb="FF000000"/>
        </bottom>
        <vertical/>
        <horizontal/>
      </border>
    </dxf>
    <dxf>
      <border outline="0">
        <top style="medium">
          <color rgb="FFCCCCCC"/>
        </top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1" indent="0" justifyLastLine="0" shrinkToFit="0" readingOrder="0"/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FFF2CC"/>
        </patternFill>
      </fill>
      <alignment horizontal="center" vertical="center" textRotation="0" wrapText="1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m/d/yyyy\ h:mm"/>
    </dxf>
    <dxf>
      <numFmt numFmtId="27" formatCode="m/d/yyyy\ 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C7DDB02-1E02-4C08-80DD-E8CEE40C63C0}" name="Table1" displayName="Table1" ref="A1:J21" totalsRowShown="0">
  <autoFilter ref="A1:J21" xr:uid="{3C7DDB02-1E02-4C08-80DD-E8CEE40C63C0}"/>
  <tableColumns count="10">
    <tableColumn id="1" xr3:uid="{050E36CE-0782-497E-B131-4A96FBF47FE9}" name="Student ID"/>
    <tableColumn id="2" xr3:uid="{40D3EA15-8837-4503-980E-60D4994A754E}" name="Name"/>
    <tableColumn id="3" xr3:uid="{B8D493EF-0B7E-4503-89DB-347658A8D052}" name="Math"/>
    <tableColumn id="4" xr3:uid="{147B1FD0-5C6B-42A0-B94D-CD3CF3AAEC55}" name="Science"/>
    <tableColumn id="5" xr3:uid="{1398D6B7-3DF0-4F9F-86A6-8CA95021ADFB}" name="English"/>
    <tableColumn id="6" xr3:uid="{A40E5FB9-4A5D-4F91-A67D-CC9F5263C558}" name="Enrollment Date" dataDxfId="17"/>
    <tableColumn id="7" xr3:uid="{889CCAE5-AE39-4CC9-B108-5D77074D8786}" name="Total marks" dataDxfId="16">
      <calculatedColumnFormula>SUM(Table1[[#This Row],[Math]],Table1[[#This Row],[Science]],Table1[[#This Row],[English]])</calculatedColumnFormula>
    </tableColumn>
    <tableColumn id="8" xr3:uid="{5B00FC67-13DB-4619-AA4D-34ABC1F0FACC}" name="Average" dataDxfId="15">
      <calculatedColumnFormula>Table1[[#This Row],[Total marks]]/3</calculatedColumnFormula>
    </tableColumn>
    <tableColumn id="9" xr3:uid="{AB4E360C-763D-4738-AD3B-7D0ACF6CBBF9}" name="grade" dataDxfId="14">
      <calculatedColumnFormula>IF(Table1[[#This Row],[Average]]&gt;80,"A",IF(Table1[[#This Row],[Average]]&gt;70,"B",IF(Table1[[#This Row],[Average]]&gt;60,"C",IF(Table1[[#This Row],[Average]]&gt;50,"D","E"))))</calculatedColumnFormula>
    </tableColumn>
    <tableColumn id="10" xr3:uid="{198386BC-EE32-4595-AB48-2E84F163EF97}" name="qualified" dataDxfId="13">
      <calculatedColumnFormula>IF(AND(Table1[[#This Row],[Math]]&gt;80,Table1[[#This Row],[Science]]&gt;80),"qualified","not qualified")</calculatedColumnFormula>
    </tableColumn>
  </tableColumns>
  <tableStyleInfo name="TableStyleLight1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BC68535-6BD7-478B-A5C6-8BCBA9FE777A}" name="Table5" displayName="Table5" ref="A1:H21" totalsRowShown="0" headerRowDxfId="12" dataDxfId="10" headerRowBorderDxfId="11" tableBorderDxfId="9" totalsRowBorderDxfId="8">
  <autoFilter ref="A1:H21" xr:uid="{BBC68535-6BD7-478B-A5C6-8BCBA9FE777A}"/>
  <tableColumns count="8">
    <tableColumn id="1" xr3:uid="{EE4D357A-A1F2-4FB3-B326-9C32296FB772}" name="Sales ID" dataDxfId="7"/>
    <tableColumn id="2" xr3:uid="{22FB053E-A449-4CAF-AA78-95356C399A2A}" name="Product" dataDxfId="6"/>
    <tableColumn id="3" xr3:uid="{746D7B54-EF89-4B6B-8E96-90295F3CB8F2}" name="Region" dataDxfId="5"/>
    <tableColumn id="4" xr3:uid="{F420B75E-845C-42DB-AE39-D7D0AC18879F}" name="Salesperson" dataDxfId="4"/>
    <tableColumn id="5" xr3:uid="{CF13AE6A-31C9-41C4-A43A-71E85B219828}" name="Amount" dataDxfId="3"/>
    <tableColumn id="6" xr3:uid="{A156E61B-6EDA-4C4E-BCB5-A477116D7088}" name="Date" dataDxfId="2"/>
    <tableColumn id="7" xr3:uid="{1210FEFD-FE46-4494-81E6-258E5F3C3A41}" name="discount" dataDxfId="1">
      <calculatedColumnFormula>IF(E2&lt;10000,5%,IF(E2&lt;30000,10%,IF(E2&lt;50000,15%,20%)))</calculatedColumnFormula>
    </tableColumn>
    <tableColumn id="8" xr3:uid="{A7E67D4B-0DE8-4FF0-B3B3-09671ED021C6}" name="eligible" dataDxfId="0">
      <calculatedColumnFormula>IF(OR(Table5[[#This Row],[Amount]]&gt;10000,Table5[[#This Row],[Product]]="laptop"),"eligible","not eligible")</calculatedColumnFormula>
    </tableColumn>
  </tableColumns>
  <tableStyleInfo name="TableStyleMedium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15327F3-E96C-4033-8AC1-2104CFFE2E23}" name="Table6" displayName="Table6" ref="A1:E21" totalsRowShown="0">
  <autoFilter ref="A1:E21" xr:uid="{A15327F3-E96C-4033-8AC1-2104CFFE2E23}"/>
  <tableColumns count="5">
    <tableColumn id="1" xr3:uid="{1169256F-F3A2-4F5C-8935-999A292173F0}" name="Employee ID"/>
    <tableColumn id="2" xr3:uid="{D9961FA3-DD24-451E-9EA1-35165B81BEB6}" name="Name"/>
    <tableColumn id="3" xr3:uid="{31E20942-30A0-49D0-9FB1-92F303787775}" name="Department"/>
    <tableColumn id="4" xr3:uid="{60973C72-9C52-4792-B130-E262E026A117}" name="Salary"/>
    <tableColumn id="5" xr3:uid="{33418639-A31F-41B8-9A2D-23D5AA34F8CC}" name="Joining Date" dataDxfId="18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D700E5-59E2-4A03-A91F-077CBDB5E687}">
  <dimension ref="A1:J29"/>
  <sheetViews>
    <sheetView tabSelected="1" workbookViewId="0">
      <selection activeCell="N11" sqref="N11"/>
    </sheetView>
  </sheetViews>
  <sheetFormatPr defaultRowHeight="14.4" x14ac:dyDescent="0.3"/>
  <cols>
    <col min="1" max="1" width="11" customWidth="1"/>
    <col min="4" max="4" width="9.33203125" customWidth="1"/>
    <col min="6" max="6" width="15.6640625" customWidth="1"/>
    <col min="10" max="10" width="13.109375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26</v>
      </c>
      <c r="H1" t="s">
        <v>27</v>
      </c>
      <c r="I1" t="s">
        <v>100</v>
      </c>
      <c r="J1" t="s">
        <v>101</v>
      </c>
    </row>
    <row r="2" spans="1:10" x14ac:dyDescent="0.3">
      <c r="A2">
        <v>1001</v>
      </c>
      <c r="B2" t="s">
        <v>6</v>
      </c>
      <c r="C2">
        <v>61</v>
      </c>
      <c r="D2">
        <v>48</v>
      </c>
      <c r="E2">
        <v>76</v>
      </c>
      <c r="F2" s="2">
        <v>43101</v>
      </c>
      <c r="G2">
        <f>SUM(Table1[[#This Row],[Math]],Table1[[#This Row],[Science]],Table1[[#This Row],[English]])</f>
        <v>185</v>
      </c>
      <c r="H2">
        <f>Table1[[#This Row],[Total marks]]/3</f>
        <v>61.666666666666664</v>
      </c>
      <c r="I2" t="str">
        <f>IF(Table1[[#This Row],[Average]]&gt;80,"A",IF(Table1[[#This Row],[Average]]&gt;70,"B",IF(Table1[[#This Row],[Average]]&gt;60,"C",IF(Table1[[#This Row],[Average]]&gt;50,"D","E"))))</f>
        <v>C</v>
      </c>
      <c r="J2" t="str">
        <f>IF(AND(Table1[[#This Row],[Math]]&gt;80,Table1[[#This Row],[Science]]&gt;80),"qualified","not qualified")</f>
        <v>not qualified</v>
      </c>
    </row>
    <row r="3" spans="1:10" x14ac:dyDescent="0.3">
      <c r="A3">
        <v>1002</v>
      </c>
      <c r="B3" t="s">
        <v>7</v>
      </c>
      <c r="C3">
        <v>78</v>
      </c>
      <c r="D3">
        <v>76</v>
      </c>
      <c r="E3">
        <v>70</v>
      </c>
      <c r="F3" s="2">
        <v>43281</v>
      </c>
      <c r="G3">
        <f>SUM(Table1[[#This Row],[Math]],Table1[[#This Row],[Science]],Table1[[#This Row],[English]])</f>
        <v>224</v>
      </c>
      <c r="H3">
        <f>Table1[[#This Row],[Total marks]]/3</f>
        <v>74.666666666666671</v>
      </c>
      <c r="I3" t="str">
        <f>IF(Table1[[#This Row],[Average]]&gt;80,"A",IF(Table1[[#This Row],[Average]]&gt;70,"B",IF(Table1[[#This Row],[Average]]&gt;60,"C",IF(Table1[[#This Row],[Average]]&gt;50,"D","E"))))</f>
        <v>B</v>
      </c>
      <c r="J3" t="str">
        <f>IF(AND(Table1[[#This Row],[Math]]&gt;80,Table1[[#This Row],[Science]]&gt;80),"qualified","not qualified")</f>
        <v>not qualified</v>
      </c>
    </row>
    <row r="4" spans="1:10" x14ac:dyDescent="0.3">
      <c r="A4">
        <v>1003</v>
      </c>
      <c r="B4" t="s">
        <v>8</v>
      </c>
      <c r="C4">
        <v>97</v>
      </c>
      <c r="D4">
        <v>60</v>
      </c>
      <c r="E4">
        <v>51</v>
      </c>
      <c r="F4" s="2">
        <v>43461</v>
      </c>
      <c r="G4">
        <f>SUM(Table1[[#This Row],[Math]],Table1[[#This Row],[Science]],Table1[[#This Row],[English]])</f>
        <v>208</v>
      </c>
      <c r="H4">
        <f>Table1[[#This Row],[Total marks]]/3</f>
        <v>69.333333333333329</v>
      </c>
      <c r="I4" t="str">
        <f>IF(Table1[[#This Row],[Average]]&gt;80,"A",IF(Table1[[#This Row],[Average]]&gt;70,"B",IF(Table1[[#This Row],[Average]]&gt;60,"C",IF(Table1[[#This Row],[Average]]&gt;50,"D","E"))))</f>
        <v>C</v>
      </c>
      <c r="J4" t="str">
        <f>IF(AND(Table1[[#This Row],[Math]]&gt;80,Table1[[#This Row],[Science]]&gt;80),"qualified","not qualified")</f>
        <v>not qualified</v>
      </c>
    </row>
    <row r="5" spans="1:10" x14ac:dyDescent="0.3">
      <c r="A5">
        <v>1004</v>
      </c>
      <c r="B5" t="s">
        <v>9</v>
      </c>
      <c r="C5">
        <v>74</v>
      </c>
      <c r="D5">
        <v>55</v>
      </c>
      <c r="E5">
        <v>46</v>
      </c>
      <c r="F5" s="2">
        <v>43641</v>
      </c>
      <c r="G5">
        <f>SUM(Table1[[#This Row],[Math]],Table1[[#This Row],[Science]],Table1[[#This Row],[English]])</f>
        <v>175</v>
      </c>
      <c r="H5">
        <f>Table1[[#This Row],[Total marks]]/3</f>
        <v>58.333333333333336</v>
      </c>
      <c r="I5" t="str">
        <f>IF(Table1[[#This Row],[Average]]&gt;80,"A",IF(Table1[[#This Row],[Average]]&gt;70,"B",IF(Table1[[#This Row],[Average]]&gt;60,"C",IF(Table1[[#This Row],[Average]]&gt;50,"D","E"))))</f>
        <v>D</v>
      </c>
      <c r="J5" t="str">
        <f>IF(AND(Table1[[#This Row],[Math]]&gt;80,Table1[[#This Row],[Science]]&gt;80),"qualified","not qualified")</f>
        <v>not qualified</v>
      </c>
    </row>
    <row r="6" spans="1:10" x14ac:dyDescent="0.3">
      <c r="A6">
        <v>1005</v>
      </c>
      <c r="B6" t="s">
        <v>10</v>
      </c>
      <c r="C6">
        <v>68</v>
      </c>
      <c r="D6">
        <v>74</v>
      </c>
      <c r="E6">
        <v>84</v>
      </c>
      <c r="F6" s="2">
        <v>43821</v>
      </c>
      <c r="G6">
        <f>SUM(Table1[[#This Row],[Math]],Table1[[#This Row],[Science]],Table1[[#This Row],[English]])</f>
        <v>226</v>
      </c>
      <c r="H6">
        <f>Table1[[#This Row],[Total marks]]/3</f>
        <v>75.333333333333329</v>
      </c>
      <c r="I6" t="str">
        <f>IF(Table1[[#This Row],[Average]]&gt;80,"A",IF(Table1[[#This Row],[Average]]&gt;70,"B",IF(Table1[[#This Row],[Average]]&gt;60,"C",IF(Table1[[#This Row],[Average]]&gt;50,"D","E"))))</f>
        <v>B</v>
      </c>
      <c r="J6" t="str">
        <f>IF(AND(Table1[[#This Row],[Math]]&gt;80,Table1[[#This Row],[Science]]&gt;80),"qualified","not qualified")</f>
        <v>not qualified</v>
      </c>
    </row>
    <row r="7" spans="1:10" x14ac:dyDescent="0.3">
      <c r="A7">
        <v>1006</v>
      </c>
      <c r="B7" t="s">
        <v>11</v>
      </c>
      <c r="C7">
        <v>80</v>
      </c>
      <c r="D7">
        <v>70</v>
      </c>
      <c r="E7">
        <v>65</v>
      </c>
      <c r="F7" s="2">
        <v>44001</v>
      </c>
      <c r="G7">
        <f>SUM(Table1[[#This Row],[Math]],Table1[[#This Row],[Science]],Table1[[#This Row],[English]])</f>
        <v>215</v>
      </c>
      <c r="H7">
        <f>Table1[[#This Row],[Total marks]]/3</f>
        <v>71.666666666666671</v>
      </c>
      <c r="I7" t="str">
        <f>IF(Table1[[#This Row],[Average]]&gt;80,"A",IF(Table1[[#This Row],[Average]]&gt;70,"B",IF(Table1[[#This Row],[Average]]&gt;60,"C",IF(Table1[[#This Row],[Average]]&gt;50,"D","E"))))</f>
        <v>B</v>
      </c>
      <c r="J7" t="str">
        <f>IF(AND(Table1[[#This Row],[Math]]&gt;80,Table1[[#This Row],[Science]]&gt;80),"qualified","not qualified")</f>
        <v>not qualified</v>
      </c>
    </row>
    <row r="8" spans="1:10" x14ac:dyDescent="0.3">
      <c r="A8">
        <v>1007</v>
      </c>
      <c r="B8" t="s">
        <v>12</v>
      </c>
      <c r="C8">
        <v>75</v>
      </c>
      <c r="D8">
        <v>47</v>
      </c>
      <c r="E8">
        <v>78</v>
      </c>
      <c r="F8" s="2">
        <v>44181</v>
      </c>
      <c r="G8">
        <f>SUM(Table1[[#This Row],[Math]],Table1[[#This Row],[Science]],Table1[[#This Row],[English]])</f>
        <v>200</v>
      </c>
      <c r="H8">
        <f>Table1[[#This Row],[Total marks]]/3</f>
        <v>66.666666666666671</v>
      </c>
      <c r="I8" t="str">
        <f>IF(Table1[[#This Row],[Average]]&gt;80,"A",IF(Table1[[#This Row],[Average]]&gt;70,"B",IF(Table1[[#This Row],[Average]]&gt;60,"C",IF(Table1[[#This Row],[Average]]&gt;50,"D","E"))))</f>
        <v>C</v>
      </c>
      <c r="J8" t="str">
        <f>IF(AND(Table1[[#This Row],[Math]]&gt;80,Table1[[#This Row],[Science]]&gt;80),"qualified","not qualified")</f>
        <v>not qualified</v>
      </c>
    </row>
    <row r="9" spans="1:10" x14ac:dyDescent="0.3">
      <c r="A9">
        <v>1008</v>
      </c>
      <c r="B9" t="s">
        <v>13</v>
      </c>
      <c r="C9">
        <v>94</v>
      </c>
      <c r="D9">
        <v>67</v>
      </c>
      <c r="E9">
        <v>64</v>
      </c>
      <c r="F9" s="2">
        <v>44361</v>
      </c>
      <c r="G9">
        <f>SUM(Table1[[#This Row],[Math]],Table1[[#This Row],[Science]],Table1[[#This Row],[English]])</f>
        <v>225</v>
      </c>
      <c r="H9">
        <f>Table1[[#This Row],[Total marks]]/3</f>
        <v>75</v>
      </c>
      <c r="I9" t="str">
        <f>IF(Table1[[#This Row],[Average]]&gt;80,"A",IF(Table1[[#This Row],[Average]]&gt;70,"B",IF(Table1[[#This Row],[Average]]&gt;60,"C",IF(Table1[[#This Row],[Average]]&gt;50,"D","E"))))</f>
        <v>B</v>
      </c>
      <c r="J9" t="str">
        <f>IF(AND(Table1[[#This Row],[Math]]&gt;80,Table1[[#This Row],[Science]]&gt;80),"qualified","not qualified")</f>
        <v>not qualified</v>
      </c>
    </row>
    <row r="10" spans="1:10" x14ac:dyDescent="0.3">
      <c r="A10">
        <v>1009</v>
      </c>
      <c r="B10" t="s">
        <v>14</v>
      </c>
      <c r="C10">
        <v>41</v>
      </c>
      <c r="D10">
        <v>75</v>
      </c>
      <c r="E10">
        <v>56</v>
      </c>
      <c r="F10" s="2">
        <v>44541</v>
      </c>
      <c r="G10">
        <f>SUM(Table1[[#This Row],[Math]],Table1[[#This Row],[Science]],Table1[[#This Row],[English]])</f>
        <v>172</v>
      </c>
      <c r="H10">
        <f>Table1[[#This Row],[Total marks]]/3</f>
        <v>57.333333333333336</v>
      </c>
      <c r="I10" t="str">
        <f>IF(Table1[[#This Row],[Average]]&gt;80,"A",IF(Table1[[#This Row],[Average]]&gt;70,"B",IF(Table1[[#This Row],[Average]]&gt;60,"C",IF(Table1[[#This Row],[Average]]&gt;50,"D","E"))))</f>
        <v>D</v>
      </c>
      <c r="J10" t="str">
        <f>IF(AND(Table1[[#This Row],[Math]]&gt;80,Table1[[#This Row],[Science]]&gt;80),"qualified","not qualified")</f>
        <v>not qualified</v>
      </c>
    </row>
    <row r="11" spans="1:10" x14ac:dyDescent="0.3">
      <c r="A11">
        <v>1010</v>
      </c>
      <c r="B11" t="s">
        <v>15</v>
      </c>
      <c r="C11">
        <v>98</v>
      </c>
      <c r="D11">
        <v>54</v>
      </c>
      <c r="E11">
        <v>58</v>
      </c>
      <c r="F11" s="2">
        <v>44721</v>
      </c>
      <c r="G11">
        <f>SUM(Table1[[#This Row],[Math]],Table1[[#This Row],[Science]],Table1[[#This Row],[English]])</f>
        <v>210</v>
      </c>
      <c r="H11">
        <f>Table1[[#This Row],[Total marks]]/3</f>
        <v>70</v>
      </c>
      <c r="I11" t="str">
        <f>IF(Table1[[#This Row],[Average]]&gt;80,"A",IF(Table1[[#This Row],[Average]]&gt;70,"B",IF(Table1[[#This Row],[Average]]&gt;60,"C",IF(Table1[[#This Row],[Average]]&gt;50,"D","E"))))</f>
        <v>C</v>
      </c>
      <c r="J11" t="str">
        <f>IF(AND(Table1[[#This Row],[Math]]&gt;80,Table1[[#This Row],[Science]]&gt;80),"qualified","not qualified")</f>
        <v>not qualified</v>
      </c>
    </row>
    <row r="12" spans="1:10" x14ac:dyDescent="0.3">
      <c r="A12">
        <v>1011</v>
      </c>
      <c r="B12" t="s">
        <v>16</v>
      </c>
      <c r="C12">
        <v>73</v>
      </c>
      <c r="D12">
        <v>79</v>
      </c>
      <c r="E12">
        <v>53</v>
      </c>
      <c r="F12" s="2">
        <v>44901</v>
      </c>
      <c r="G12">
        <f>SUM(Table1[[#This Row],[Math]],Table1[[#This Row],[Science]],Table1[[#This Row],[English]])</f>
        <v>205</v>
      </c>
      <c r="H12">
        <f>Table1[[#This Row],[Total marks]]/3</f>
        <v>68.333333333333329</v>
      </c>
      <c r="I12" t="str">
        <f>IF(Table1[[#This Row],[Average]]&gt;80,"A",IF(Table1[[#This Row],[Average]]&gt;70,"B",IF(Table1[[#This Row],[Average]]&gt;60,"C",IF(Table1[[#This Row],[Average]]&gt;50,"D","E"))))</f>
        <v>C</v>
      </c>
      <c r="J12" t="str">
        <f>IF(AND(Table1[[#This Row],[Math]]&gt;80,Table1[[#This Row],[Science]]&gt;80),"qualified","not qualified")</f>
        <v>not qualified</v>
      </c>
    </row>
    <row r="13" spans="1:10" x14ac:dyDescent="0.3">
      <c r="A13">
        <v>1012</v>
      </c>
      <c r="B13" t="s">
        <v>17</v>
      </c>
      <c r="C13">
        <v>85</v>
      </c>
      <c r="D13">
        <v>89</v>
      </c>
      <c r="E13">
        <v>79</v>
      </c>
      <c r="F13" s="2">
        <v>45081</v>
      </c>
      <c r="G13">
        <f>SUM(Table1[[#This Row],[Math]],Table1[[#This Row],[Science]],Table1[[#This Row],[English]])</f>
        <v>253</v>
      </c>
      <c r="H13">
        <f>Table1[[#This Row],[Total marks]]/3</f>
        <v>84.333333333333329</v>
      </c>
      <c r="I13" t="str">
        <f>IF(Table1[[#This Row],[Average]]&gt;80,"A",IF(Table1[[#This Row],[Average]]&gt;70,"B",IF(Table1[[#This Row],[Average]]&gt;60,"C",IF(Table1[[#This Row],[Average]]&gt;50,"D","E"))))</f>
        <v>A</v>
      </c>
      <c r="J13" t="str">
        <f>IF(AND(Table1[[#This Row],[Math]]&gt;80,Table1[[#This Row],[Science]]&gt;80),"qualified","not qualified")</f>
        <v>qualified</v>
      </c>
    </row>
    <row r="14" spans="1:10" x14ac:dyDescent="0.3">
      <c r="A14">
        <v>1013</v>
      </c>
      <c r="B14" t="s">
        <v>18</v>
      </c>
      <c r="C14">
        <v>98</v>
      </c>
      <c r="D14">
        <v>90</v>
      </c>
      <c r="E14">
        <v>97</v>
      </c>
      <c r="F14" s="2">
        <v>45261</v>
      </c>
      <c r="G14">
        <f>SUM(Table1[[#This Row],[Math]],Table1[[#This Row],[Science]],Table1[[#This Row],[English]])</f>
        <v>285</v>
      </c>
      <c r="H14">
        <f>Table1[[#This Row],[Total marks]]/3</f>
        <v>95</v>
      </c>
      <c r="I14" t="str">
        <f>IF(Table1[[#This Row],[Average]]&gt;80,"A",IF(Table1[[#This Row],[Average]]&gt;70,"B",IF(Table1[[#This Row],[Average]]&gt;60,"C",IF(Table1[[#This Row],[Average]]&gt;50,"D","E"))))</f>
        <v>A</v>
      </c>
      <c r="J14" t="str">
        <f>IF(AND(Table1[[#This Row],[Math]]&gt;80,Table1[[#This Row],[Science]]&gt;80),"qualified","not qualified")</f>
        <v>qualified</v>
      </c>
    </row>
    <row r="15" spans="1:10" x14ac:dyDescent="0.3">
      <c r="A15">
        <v>1014</v>
      </c>
      <c r="B15" t="s">
        <v>19</v>
      </c>
      <c r="C15">
        <v>93</v>
      </c>
      <c r="D15">
        <v>40</v>
      </c>
      <c r="E15">
        <v>44</v>
      </c>
      <c r="F15" s="2">
        <v>45441</v>
      </c>
      <c r="G15">
        <f>SUM(Table1[[#This Row],[Math]],Table1[[#This Row],[Science]],Table1[[#This Row],[English]])</f>
        <v>177</v>
      </c>
      <c r="H15">
        <f>Table1[[#This Row],[Total marks]]/3</f>
        <v>59</v>
      </c>
      <c r="I15" t="str">
        <f>IF(Table1[[#This Row],[Average]]&gt;80,"A",IF(Table1[[#This Row],[Average]]&gt;70,"B",IF(Table1[[#This Row],[Average]]&gt;60,"C",IF(Table1[[#This Row],[Average]]&gt;50,"D","E"))))</f>
        <v>D</v>
      </c>
      <c r="J15" t="str">
        <f>IF(AND(Table1[[#This Row],[Math]]&gt;80,Table1[[#This Row],[Science]]&gt;80),"qualified","not qualified")</f>
        <v>not qualified</v>
      </c>
    </row>
    <row r="16" spans="1:10" x14ac:dyDescent="0.3">
      <c r="A16">
        <v>1015</v>
      </c>
      <c r="B16" t="s">
        <v>20</v>
      </c>
      <c r="C16">
        <v>70</v>
      </c>
      <c r="D16">
        <v>51</v>
      </c>
      <c r="E16">
        <v>75</v>
      </c>
      <c r="F16" s="2">
        <v>45621</v>
      </c>
      <c r="G16">
        <f>SUM(Table1[[#This Row],[Math]],Table1[[#This Row],[Science]],Table1[[#This Row],[English]])</f>
        <v>196</v>
      </c>
      <c r="H16">
        <f>Table1[[#This Row],[Total marks]]/3</f>
        <v>65.333333333333329</v>
      </c>
      <c r="I16" t="str">
        <f>IF(Table1[[#This Row],[Average]]&gt;80,"A",IF(Table1[[#This Row],[Average]]&gt;70,"B",IF(Table1[[#This Row],[Average]]&gt;60,"C",IF(Table1[[#This Row],[Average]]&gt;50,"D","E"))))</f>
        <v>C</v>
      </c>
      <c r="J16" t="str">
        <f>IF(AND(Table1[[#This Row],[Math]]&gt;80,Table1[[#This Row],[Science]]&gt;80),"qualified","not qualified")</f>
        <v>not qualified</v>
      </c>
    </row>
    <row r="17" spans="1:10" x14ac:dyDescent="0.3">
      <c r="A17">
        <v>1016</v>
      </c>
      <c r="B17" t="s">
        <v>21</v>
      </c>
      <c r="C17">
        <v>98</v>
      </c>
      <c r="D17">
        <v>77</v>
      </c>
      <c r="E17">
        <v>60</v>
      </c>
      <c r="F17" s="2">
        <v>45801</v>
      </c>
      <c r="G17">
        <f>SUM(Table1[[#This Row],[Math]],Table1[[#This Row],[Science]],Table1[[#This Row],[English]])</f>
        <v>235</v>
      </c>
      <c r="H17">
        <f>Table1[[#This Row],[Total marks]]/3</f>
        <v>78.333333333333329</v>
      </c>
      <c r="I17" t="str">
        <f>IF(Table1[[#This Row],[Average]]&gt;80,"A",IF(Table1[[#This Row],[Average]]&gt;70,"B",IF(Table1[[#This Row],[Average]]&gt;60,"C",IF(Table1[[#This Row],[Average]]&gt;50,"D","E"))))</f>
        <v>B</v>
      </c>
      <c r="J17" t="str">
        <f>IF(AND(Table1[[#This Row],[Math]]&gt;80,Table1[[#This Row],[Science]]&gt;80),"qualified","not qualified")</f>
        <v>not qualified</v>
      </c>
    </row>
    <row r="18" spans="1:10" x14ac:dyDescent="0.3">
      <c r="A18">
        <v>1017</v>
      </c>
      <c r="B18" t="s">
        <v>22</v>
      </c>
      <c r="C18">
        <v>66</v>
      </c>
      <c r="D18">
        <v>59</v>
      </c>
      <c r="E18">
        <v>40</v>
      </c>
      <c r="F18" s="2">
        <v>45981</v>
      </c>
      <c r="G18">
        <f>SUM(Table1[[#This Row],[Math]],Table1[[#This Row],[Science]],Table1[[#This Row],[English]])</f>
        <v>165</v>
      </c>
      <c r="H18">
        <f>Table1[[#This Row],[Total marks]]/3</f>
        <v>55</v>
      </c>
      <c r="I18" t="str">
        <f>IF(Table1[[#This Row],[Average]]&gt;80,"A",IF(Table1[[#This Row],[Average]]&gt;70,"B",IF(Table1[[#This Row],[Average]]&gt;60,"C",IF(Table1[[#This Row],[Average]]&gt;50,"D","E"))))</f>
        <v>D</v>
      </c>
      <c r="J18" t="str">
        <f>IF(AND(Table1[[#This Row],[Math]]&gt;80,Table1[[#This Row],[Science]]&gt;80),"qualified","not qualified")</f>
        <v>not qualified</v>
      </c>
    </row>
    <row r="19" spans="1:10" x14ac:dyDescent="0.3">
      <c r="A19">
        <v>1018</v>
      </c>
      <c r="B19" t="s">
        <v>23</v>
      </c>
      <c r="C19">
        <v>82</v>
      </c>
      <c r="D19">
        <v>48</v>
      </c>
      <c r="E19">
        <v>79</v>
      </c>
      <c r="F19" s="2">
        <v>46161</v>
      </c>
      <c r="G19">
        <f>SUM(Table1[[#This Row],[Math]],Table1[[#This Row],[Science]],Table1[[#This Row],[English]])</f>
        <v>209</v>
      </c>
      <c r="H19">
        <f>Table1[[#This Row],[Total marks]]/3</f>
        <v>69.666666666666671</v>
      </c>
      <c r="I19" t="str">
        <f>IF(Table1[[#This Row],[Average]]&gt;80,"A",IF(Table1[[#This Row],[Average]]&gt;70,"B",IF(Table1[[#This Row],[Average]]&gt;60,"C",IF(Table1[[#This Row],[Average]]&gt;50,"D","E"))))</f>
        <v>C</v>
      </c>
      <c r="J19" t="str">
        <f>IF(AND(Table1[[#This Row],[Math]]&gt;80,Table1[[#This Row],[Science]]&gt;80),"qualified","not qualified")</f>
        <v>not qualified</v>
      </c>
    </row>
    <row r="20" spans="1:10" x14ac:dyDescent="0.3">
      <c r="A20">
        <v>1019</v>
      </c>
      <c r="B20" t="s">
        <v>24</v>
      </c>
      <c r="C20">
        <v>90</v>
      </c>
      <c r="D20">
        <v>78</v>
      </c>
      <c r="E20">
        <v>60</v>
      </c>
      <c r="F20" s="2">
        <v>46341</v>
      </c>
      <c r="G20">
        <f>SUM(Table1[[#This Row],[Math]],Table1[[#This Row],[Science]],Table1[[#This Row],[English]])</f>
        <v>228</v>
      </c>
      <c r="H20">
        <f>Table1[[#This Row],[Total marks]]/3</f>
        <v>76</v>
      </c>
      <c r="I20" t="str">
        <f>IF(Table1[[#This Row],[Average]]&gt;80,"A",IF(Table1[[#This Row],[Average]]&gt;70,"B",IF(Table1[[#This Row],[Average]]&gt;60,"C",IF(Table1[[#This Row],[Average]]&gt;50,"D","E"))))</f>
        <v>B</v>
      </c>
      <c r="J20" t="str">
        <f>IF(AND(Table1[[#This Row],[Math]]&gt;80,Table1[[#This Row],[Science]]&gt;80),"qualified","not qualified")</f>
        <v>not qualified</v>
      </c>
    </row>
    <row r="21" spans="1:10" x14ac:dyDescent="0.3">
      <c r="A21">
        <v>1020</v>
      </c>
      <c r="B21" t="s">
        <v>25</v>
      </c>
      <c r="C21">
        <v>83</v>
      </c>
      <c r="D21">
        <v>92</v>
      </c>
      <c r="E21">
        <v>55</v>
      </c>
      <c r="F21" s="2">
        <v>46521</v>
      </c>
      <c r="G21">
        <f>SUM(Table1[[#This Row],[Math]],Table1[[#This Row],[Science]],Table1[[#This Row],[English]])</f>
        <v>230</v>
      </c>
      <c r="H21">
        <f>Table1[[#This Row],[Total marks]]/3</f>
        <v>76.666666666666671</v>
      </c>
      <c r="I21" t="str">
        <f>IF(Table1[[#This Row],[Average]]&gt;80,"A",IF(Table1[[#This Row],[Average]]&gt;70,"B",IF(Table1[[#This Row],[Average]]&gt;60,"C",IF(Table1[[#This Row],[Average]]&gt;50,"D","E"))))</f>
        <v>B</v>
      </c>
      <c r="J21" t="str">
        <f>IF(AND(Table1[[#This Row],[Math]]&gt;80,Table1[[#This Row],[Science]]&gt;80),"qualified","not qualified")</f>
        <v>qualified</v>
      </c>
    </row>
    <row r="23" spans="1:10" x14ac:dyDescent="0.3">
      <c r="A23" t="s">
        <v>96</v>
      </c>
      <c r="I23" t="s">
        <v>98</v>
      </c>
    </row>
    <row r="24" spans="1:10" x14ac:dyDescent="0.3">
      <c r="A24">
        <f>COUNTIFS(Table1[Math],"&gt;60",Table1[Science],"&gt;60",Table1[English],"&gt;60")</f>
        <v>6</v>
      </c>
      <c r="H24" t="s">
        <v>103</v>
      </c>
      <c r="I24">
        <f>COUNTIF(Table1[Math],"&gt;80")</f>
        <v>10</v>
      </c>
    </row>
    <row r="25" spans="1:10" x14ac:dyDescent="0.3">
      <c r="H25" t="s">
        <v>106</v>
      </c>
      <c r="I25">
        <f>AVERAGEIF(Table1[Average],"&gt;60",Table1[Average])</f>
        <v>73.625000000000014</v>
      </c>
    </row>
    <row r="26" spans="1:10" x14ac:dyDescent="0.3">
      <c r="H26" t="s">
        <v>107</v>
      </c>
      <c r="I26" t="str">
        <f>VLOOKUP(A6,Table1[[Student ID]:[Name]],2)</f>
        <v>Student 5</v>
      </c>
    </row>
    <row r="27" spans="1:10" x14ac:dyDescent="0.3">
      <c r="A27" t="s">
        <v>97</v>
      </c>
      <c r="H27" t="s">
        <v>116</v>
      </c>
    </row>
    <row r="28" spans="1:10" x14ac:dyDescent="0.3">
      <c r="A28" t="str" cm="1">
        <f t="array" ref="A28:A29">_xlfn._xlws.FILTER(Table1[Name],Table1[Average]&gt;80,"No student found")</f>
        <v>Student 12</v>
      </c>
    </row>
    <row r="29" spans="1:10" x14ac:dyDescent="0.3">
      <c r="A29" t="str">
        <v>Student 13</v>
      </c>
    </row>
  </sheetData>
  <phoneticPr fontId="3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1B1657-C991-425C-BE4F-8A175845B468}">
  <dimension ref="A1:K49"/>
  <sheetViews>
    <sheetView topLeftCell="A29" zoomScale="81" zoomScaleNormal="100" workbookViewId="0">
      <selection activeCell="A25" sqref="A25"/>
    </sheetView>
  </sheetViews>
  <sheetFormatPr defaultRowHeight="14.4" x14ac:dyDescent="0.3"/>
  <cols>
    <col min="1" max="1" width="9.33203125" customWidth="1"/>
    <col min="2" max="2" width="9.5546875" customWidth="1"/>
    <col min="4" max="4" width="12.88671875" customWidth="1"/>
    <col min="5" max="5" width="9.77734375" customWidth="1"/>
    <col min="6" max="6" width="17.5546875" customWidth="1"/>
    <col min="7" max="7" width="10.88671875" customWidth="1"/>
    <col min="8" max="8" width="11.33203125" bestFit="1" customWidth="1"/>
    <col min="10" max="10" width="13.109375" customWidth="1"/>
  </cols>
  <sheetData>
    <row r="1" spans="1:11" ht="15" thickBot="1" x14ac:dyDescent="0.35">
      <c r="A1" s="5" t="s">
        <v>28</v>
      </c>
      <c r="B1" s="6" t="s">
        <v>29</v>
      </c>
      <c r="C1" s="6" t="s">
        <v>30</v>
      </c>
      <c r="D1" s="6" t="s">
        <v>31</v>
      </c>
      <c r="E1" s="6" t="s">
        <v>32</v>
      </c>
      <c r="F1" s="7" t="s">
        <v>33</v>
      </c>
      <c r="G1" s="11" t="s">
        <v>99</v>
      </c>
      <c r="H1" s="11" t="s">
        <v>102</v>
      </c>
      <c r="J1" t="s">
        <v>112</v>
      </c>
      <c r="K1" t="s">
        <v>111</v>
      </c>
    </row>
    <row r="2" spans="1:11" ht="15" thickBot="1" x14ac:dyDescent="0.35">
      <c r="A2" s="3">
        <v>2001</v>
      </c>
      <c r="B2" s="1" t="s">
        <v>34</v>
      </c>
      <c r="C2" s="1" t="s">
        <v>35</v>
      </c>
      <c r="D2" s="1" t="s">
        <v>36</v>
      </c>
      <c r="E2" s="1">
        <v>7048</v>
      </c>
      <c r="F2" s="4">
        <v>44927</v>
      </c>
      <c r="G2" s="12">
        <f t="shared" ref="G2:G21" si="0">IF(E2&lt;10000,5%,IF(E2&lt;30000,10%,IF(E2&lt;50000,15%,20%)))</f>
        <v>0.05</v>
      </c>
      <c r="H2" s="13" t="str">
        <f>IF(OR(Table5[[#This Row],[Amount]]&gt;10000,Table5[[#This Row],[Product]]="laptop"),"eligible","not eligible")</f>
        <v>not eligible</v>
      </c>
      <c r="J2" t="s">
        <v>110</v>
      </c>
      <c r="K2">
        <v>4</v>
      </c>
    </row>
    <row r="3" spans="1:11" ht="15" thickBot="1" x14ac:dyDescent="0.35">
      <c r="A3" s="3">
        <v>2002</v>
      </c>
      <c r="B3" s="1" t="s">
        <v>37</v>
      </c>
      <c r="C3" s="1" t="s">
        <v>38</v>
      </c>
      <c r="D3" s="1" t="s">
        <v>39</v>
      </c>
      <c r="E3" s="1">
        <v>17428</v>
      </c>
      <c r="F3" s="4">
        <v>44942</v>
      </c>
      <c r="G3" s="12">
        <f t="shared" si="0"/>
        <v>0.1</v>
      </c>
      <c r="H3" s="13" t="str">
        <f>IF(OR(Table5[[#This Row],[Amount]]&gt;10000,Table5[[#This Row],[Product]]="laptop"),"eligible","not eligible")</f>
        <v>eligible</v>
      </c>
    </row>
    <row r="4" spans="1:11" ht="15" thickBot="1" x14ac:dyDescent="0.35">
      <c r="A4" s="3">
        <v>2003</v>
      </c>
      <c r="B4" s="1" t="s">
        <v>40</v>
      </c>
      <c r="C4" s="1" t="s">
        <v>35</v>
      </c>
      <c r="D4" s="1" t="s">
        <v>41</v>
      </c>
      <c r="E4" s="1">
        <v>23672</v>
      </c>
      <c r="F4" s="4">
        <v>44957</v>
      </c>
      <c r="G4" s="12">
        <f t="shared" si="0"/>
        <v>0.1</v>
      </c>
      <c r="H4" s="13" t="str">
        <f>IF(OR(Table5[[#This Row],[Amount]]&gt;10000,Table5[[#This Row],[Product]]="laptop"),"eligible","not eligible")</f>
        <v>eligible</v>
      </c>
    </row>
    <row r="5" spans="1:11" ht="15" thickBot="1" x14ac:dyDescent="0.35">
      <c r="A5" s="3">
        <v>2004</v>
      </c>
      <c r="B5" s="1" t="s">
        <v>37</v>
      </c>
      <c r="C5" s="1" t="s">
        <v>42</v>
      </c>
      <c r="D5" s="1" t="s">
        <v>43</v>
      </c>
      <c r="E5" s="1">
        <v>5264</v>
      </c>
      <c r="F5" s="4">
        <v>44972</v>
      </c>
      <c r="G5" s="12">
        <f t="shared" si="0"/>
        <v>0.05</v>
      </c>
      <c r="H5" s="13" t="str">
        <f>IF(OR(Table5[[#This Row],[Amount]]&gt;10000,Table5[[#This Row],[Product]]="laptop"),"eligible","not eligible")</f>
        <v>not eligible</v>
      </c>
    </row>
    <row r="6" spans="1:11" ht="15" thickBot="1" x14ac:dyDescent="0.35">
      <c r="A6" s="3">
        <v>2005</v>
      </c>
      <c r="B6" s="1" t="s">
        <v>34</v>
      </c>
      <c r="C6" s="1" t="s">
        <v>44</v>
      </c>
      <c r="D6" s="1" t="s">
        <v>45</v>
      </c>
      <c r="E6" s="1">
        <v>43388</v>
      </c>
      <c r="F6" s="4">
        <v>44987</v>
      </c>
      <c r="G6" s="12">
        <f t="shared" si="0"/>
        <v>0.15</v>
      </c>
      <c r="H6" s="13" t="str">
        <f>IF(OR(Table5[[#This Row],[Amount]]&gt;10000,Table5[[#This Row],[Product]]="laptop"),"eligible","not eligible")</f>
        <v>eligible</v>
      </c>
    </row>
    <row r="7" spans="1:11" ht="15" thickBot="1" x14ac:dyDescent="0.35">
      <c r="A7" s="3">
        <v>2006</v>
      </c>
      <c r="B7" s="1" t="s">
        <v>40</v>
      </c>
      <c r="C7" s="1" t="s">
        <v>44</v>
      </c>
      <c r="D7" s="1" t="s">
        <v>46</v>
      </c>
      <c r="E7" s="1">
        <v>19757</v>
      </c>
      <c r="F7" s="4">
        <v>45002</v>
      </c>
      <c r="G7" s="12">
        <f t="shared" si="0"/>
        <v>0.1</v>
      </c>
      <c r="H7" s="13" t="str">
        <f>IF(OR(Table5[[#This Row],[Amount]]&gt;10000,Table5[[#This Row],[Product]]="laptop"),"eligible","not eligible")</f>
        <v>eligible</v>
      </c>
    </row>
    <row r="8" spans="1:11" ht="15" thickBot="1" x14ac:dyDescent="0.35">
      <c r="A8" s="3">
        <v>2007</v>
      </c>
      <c r="B8" s="1" t="s">
        <v>40</v>
      </c>
      <c r="C8" s="1" t="s">
        <v>42</v>
      </c>
      <c r="D8" s="1" t="s">
        <v>47</v>
      </c>
      <c r="E8" s="1">
        <v>32058</v>
      </c>
      <c r="F8" s="4">
        <v>45017</v>
      </c>
      <c r="G8" s="12">
        <f t="shared" si="0"/>
        <v>0.15</v>
      </c>
      <c r="H8" s="13" t="str">
        <f>IF(OR(Table5[[#This Row],[Amount]]&gt;10000,Table5[[#This Row],[Product]]="laptop"),"eligible","not eligible")</f>
        <v>eligible</v>
      </c>
    </row>
    <row r="9" spans="1:11" ht="15" thickBot="1" x14ac:dyDescent="0.35">
      <c r="A9" s="3">
        <v>2008</v>
      </c>
      <c r="B9" s="1" t="s">
        <v>34</v>
      </c>
      <c r="C9" s="1" t="s">
        <v>42</v>
      </c>
      <c r="D9" s="1" t="s">
        <v>48</v>
      </c>
      <c r="E9" s="1">
        <v>46429</v>
      </c>
      <c r="F9" s="4">
        <v>45032</v>
      </c>
      <c r="G9" s="12">
        <f t="shared" si="0"/>
        <v>0.15</v>
      </c>
      <c r="H9" s="13" t="str">
        <f>IF(OR(Table5[[#This Row],[Amount]]&gt;10000,Table5[[#This Row],[Product]]="laptop"),"eligible","not eligible")</f>
        <v>eligible</v>
      </c>
    </row>
    <row r="10" spans="1:11" ht="15" thickBot="1" x14ac:dyDescent="0.35">
      <c r="A10" s="3">
        <v>2009</v>
      </c>
      <c r="B10" s="1" t="s">
        <v>37</v>
      </c>
      <c r="C10" s="1" t="s">
        <v>42</v>
      </c>
      <c r="D10" s="1" t="s">
        <v>49</v>
      </c>
      <c r="E10" s="1">
        <v>19746</v>
      </c>
      <c r="F10" s="4">
        <v>45047</v>
      </c>
      <c r="G10" s="12">
        <f t="shared" si="0"/>
        <v>0.1</v>
      </c>
      <c r="H10" s="13" t="str">
        <f>IF(OR(Table5[[#This Row],[Amount]]&gt;10000,Table5[[#This Row],[Product]]="laptop"),"eligible","not eligible")</f>
        <v>eligible</v>
      </c>
    </row>
    <row r="11" spans="1:11" ht="15" thickBot="1" x14ac:dyDescent="0.35">
      <c r="A11" s="3">
        <v>2010</v>
      </c>
      <c r="B11" s="1" t="s">
        <v>34</v>
      </c>
      <c r="C11" s="1" t="s">
        <v>35</v>
      </c>
      <c r="D11" s="1" t="s">
        <v>50</v>
      </c>
      <c r="E11" s="1">
        <v>35185</v>
      </c>
      <c r="F11" s="4">
        <v>45062</v>
      </c>
      <c r="G11" s="12">
        <f t="shared" si="0"/>
        <v>0.15</v>
      </c>
      <c r="H11" s="13" t="str">
        <f>IF(OR(Table5[[#This Row],[Amount]]&gt;10000,Table5[[#This Row],[Product]]="laptop"),"eligible","not eligible")</f>
        <v>eligible</v>
      </c>
    </row>
    <row r="12" spans="1:11" ht="15" thickBot="1" x14ac:dyDescent="0.35">
      <c r="A12" s="3">
        <v>2011</v>
      </c>
      <c r="B12" s="1" t="s">
        <v>34</v>
      </c>
      <c r="C12" s="1" t="s">
        <v>42</v>
      </c>
      <c r="D12" s="1" t="s">
        <v>51</v>
      </c>
      <c r="E12" s="1">
        <v>33920</v>
      </c>
      <c r="F12" s="4">
        <v>45077</v>
      </c>
      <c r="G12" s="12">
        <f t="shared" si="0"/>
        <v>0.15</v>
      </c>
      <c r="H12" s="13" t="str">
        <f>IF(OR(Table5[[#This Row],[Amount]]&gt;10000,Table5[[#This Row],[Product]]="laptop"),"eligible","not eligible")</f>
        <v>eligible</v>
      </c>
    </row>
    <row r="13" spans="1:11" ht="15" thickBot="1" x14ac:dyDescent="0.35">
      <c r="A13" s="3">
        <v>2012</v>
      </c>
      <c r="B13" s="1" t="s">
        <v>52</v>
      </c>
      <c r="C13" s="1" t="s">
        <v>44</v>
      </c>
      <c r="D13" s="1" t="s">
        <v>53</v>
      </c>
      <c r="E13" s="1">
        <v>35611</v>
      </c>
      <c r="F13" s="4">
        <v>45092</v>
      </c>
      <c r="G13" s="12">
        <f t="shared" si="0"/>
        <v>0.15</v>
      </c>
      <c r="H13" s="13" t="str">
        <f>IF(OR(Table5[[#This Row],[Amount]]&gt;10000,Table5[[#This Row],[Product]]="laptop"),"eligible","not eligible")</f>
        <v>eligible</v>
      </c>
    </row>
    <row r="14" spans="1:11" ht="15" thickBot="1" x14ac:dyDescent="0.35">
      <c r="A14" s="3">
        <v>2013</v>
      </c>
      <c r="B14" s="1" t="s">
        <v>54</v>
      </c>
      <c r="C14" s="1" t="s">
        <v>42</v>
      </c>
      <c r="D14" s="1" t="s">
        <v>55</v>
      </c>
      <c r="E14" s="1">
        <v>15560</v>
      </c>
      <c r="F14" s="4">
        <v>45107</v>
      </c>
      <c r="G14" s="12">
        <f t="shared" si="0"/>
        <v>0.1</v>
      </c>
      <c r="H14" s="13" t="str">
        <f>IF(OR(Table5[[#This Row],[Amount]]&gt;10000,Table5[[#This Row],[Product]]="laptop"),"eligible","not eligible")</f>
        <v>eligible</v>
      </c>
    </row>
    <row r="15" spans="1:11" ht="15" thickBot="1" x14ac:dyDescent="0.35">
      <c r="A15" s="3">
        <v>2014</v>
      </c>
      <c r="B15" s="1" t="s">
        <v>54</v>
      </c>
      <c r="C15" s="1" t="s">
        <v>35</v>
      </c>
      <c r="D15" s="1" t="s">
        <v>56</v>
      </c>
      <c r="E15" s="1">
        <v>7283</v>
      </c>
      <c r="F15" s="4">
        <v>45122</v>
      </c>
      <c r="G15" s="12">
        <f t="shared" si="0"/>
        <v>0.05</v>
      </c>
      <c r="H15" s="13" t="str">
        <f>IF(OR(Table5[[#This Row],[Amount]]&gt;10000,Table5[[#This Row],[Product]]="laptop"),"eligible","not eligible")</f>
        <v>eligible</v>
      </c>
    </row>
    <row r="16" spans="1:11" ht="15" thickBot="1" x14ac:dyDescent="0.35">
      <c r="A16" s="3">
        <v>2015</v>
      </c>
      <c r="B16" s="1" t="s">
        <v>54</v>
      </c>
      <c r="C16" s="1" t="s">
        <v>42</v>
      </c>
      <c r="D16" s="1" t="s">
        <v>57</v>
      </c>
      <c r="E16" s="1">
        <v>15678</v>
      </c>
      <c r="F16" s="4">
        <v>45137</v>
      </c>
      <c r="G16" s="12">
        <f t="shared" si="0"/>
        <v>0.1</v>
      </c>
      <c r="H16" s="13" t="str">
        <f>IF(OR(Table5[[#This Row],[Amount]]&gt;10000,Table5[[#This Row],[Product]]="laptop"),"eligible","not eligible")</f>
        <v>eligible</v>
      </c>
    </row>
    <row r="17" spans="1:8" ht="15" thickBot="1" x14ac:dyDescent="0.35">
      <c r="A17" s="3">
        <v>2016</v>
      </c>
      <c r="B17" s="1" t="s">
        <v>40</v>
      </c>
      <c r="C17" s="1" t="s">
        <v>42</v>
      </c>
      <c r="D17" s="1" t="s">
        <v>58</v>
      </c>
      <c r="E17" s="1">
        <v>5277</v>
      </c>
      <c r="F17" s="4">
        <v>45152</v>
      </c>
      <c r="G17" s="12">
        <f t="shared" si="0"/>
        <v>0.05</v>
      </c>
      <c r="H17" s="13" t="str">
        <f>IF(OR(Table5[[#This Row],[Amount]]&gt;10000,Table5[[#This Row],[Product]]="laptop"),"eligible","not eligible")</f>
        <v>not eligible</v>
      </c>
    </row>
    <row r="18" spans="1:8" ht="15" thickBot="1" x14ac:dyDescent="0.35">
      <c r="A18" s="3">
        <v>2017</v>
      </c>
      <c r="B18" s="1" t="s">
        <v>52</v>
      </c>
      <c r="C18" s="1" t="s">
        <v>44</v>
      </c>
      <c r="D18" s="1" t="s">
        <v>59</v>
      </c>
      <c r="E18" s="1">
        <v>41871</v>
      </c>
      <c r="F18" s="4">
        <v>45167</v>
      </c>
      <c r="G18" s="12">
        <f t="shared" si="0"/>
        <v>0.15</v>
      </c>
      <c r="H18" s="13" t="str">
        <f>IF(OR(Table5[[#This Row],[Amount]]&gt;10000,Table5[[#This Row],[Product]]="laptop"),"eligible","not eligible")</f>
        <v>eligible</v>
      </c>
    </row>
    <row r="19" spans="1:8" ht="15" thickBot="1" x14ac:dyDescent="0.35">
      <c r="A19" s="3">
        <v>2018</v>
      </c>
      <c r="B19" s="1" t="s">
        <v>52</v>
      </c>
      <c r="C19" s="1" t="s">
        <v>38</v>
      </c>
      <c r="D19" s="1" t="s">
        <v>60</v>
      </c>
      <c r="E19" s="1">
        <v>38161</v>
      </c>
      <c r="F19" s="4">
        <v>45182</v>
      </c>
      <c r="G19" s="12">
        <f t="shared" si="0"/>
        <v>0.15</v>
      </c>
      <c r="H19" s="13" t="str">
        <f>IF(OR(Table5[[#This Row],[Amount]]&gt;10000,Table5[[#This Row],[Product]]="laptop"),"eligible","not eligible")</f>
        <v>eligible</v>
      </c>
    </row>
    <row r="20" spans="1:8" ht="15" thickBot="1" x14ac:dyDescent="0.35">
      <c r="A20" s="3">
        <v>2019</v>
      </c>
      <c r="B20" s="1" t="s">
        <v>40</v>
      </c>
      <c r="C20" s="1" t="s">
        <v>38</v>
      </c>
      <c r="D20" s="1" t="s">
        <v>61</v>
      </c>
      <c r="E20" s="1">
        <v>30436</v>
      </c>
      <c r="F20" s="4">
        <v>45197</v>
      </c>
      <c r="G20" s="12">
        <f t="shared" si="0"/>
        <v>0.15</v>
      </c>
      <c r="H20" s="13" t="str">
        <f>IF(OR(Table5[[#This Row],[Amount]]&gt;10000,Table5[[#This Row],[Product]]="laptop"),"eligible","not eligible")</f>
        <v>eligible</v>
      </c>
    </row>
    <row r="21" spans="1:8" x14ac:dyDescent="0.3">
      <c r="A21" s="8">
        <v>2020</v>
      </c>
      <c r="B21" s="9" t="s">
        <v>37</v>
      </c>
      <c r="C21" s="9" t="s">
        <v>38</v>
      </c>
      <c r="D21" s="9" t="s">
        <v>62</v>
      </c>
      <c r="E21" s="9">
        <v>33953</v>
      </c>
      <c r="F21" s="10">
        <v>45212</v>
      </c>
      <c r="G21" s="12">
        <f t="shared" si="0"/>
        <v>0.15</v>
      </c>
      <c r="H21" s="13" t="str">
        <f>IF(OR(Table5[[#This Row],[Amount]]&gt;10000,Table5[[#This Row],[Product]]="laptop"),"eligible","not eligible")</f>
        <v>eligible</v>
      </c>
    </row>
    <row r="24" spans="1:8" x14ac:dyDescent="0.3">
      <c r="A24" t="s">
        <v>63</v>
      </c>
      <c r="F24" t="s">
        <v>104</v>
      </c>
      <c r="G24">
        <f>SUMIF(Table5[Region],"=south",Table5[Amount])</f>
        <v>73188</v>
      </c>
    </row>
    <row r="25" spans="1:8" x14ac:dyDescent="0.3">
      <c r="A25" cm="1">
        <f t="array" ref="A25:A44">VLOOKUP(Table5[Sales ID],Table5[],5)</f>
        <v>7048</v>
      </c>
      <c r="F25" t="s">
        <v>105</v>
      </c>
      <c r="G25">
        <f>SUMIF(Table5[Product],"=keyboard",Table5[Amount])</f>
        <v>165970</v>
      </c>
    </row>
    <row r="26" spans="1:8" x14ac:dyDescent="0.3">
      <c r="A26">
        <v>17428</v>
      </c>
      <c r="F26" t="s">
        <v>108</v>
      </c>
      <c r="G26" t="str">
        <f>VLOOKUP(A6,Table5[[Sales ID]:[Product]],2)</f>
        <v>Keyboard</v>
      </c>
    </row>
    <row r="27" spans="1:8" x14ac:dyDescent="0.3">
      <c r="A27">
        <v>23672</v>
      </c>
      <c r="F27" t="s">
        <v>109</v>
      </c>
      <c r="G27" cm="1">
        <f t="array" ref="G27">INDEX(Table5[Amount],MATCH(1,(Table5[Salesperson]=J2)*(MONTH(Table5[Date]=K2)),0))</f>
        <v>46429</v>
      </c>
    </row>
    <row r="28" spans="1:8" x14ac:dyDescent="0.3">
      <c r="A28">
        <v>5264</v>
      </c>
      <c r="F28" t="s">
        <v>117</v>
      </c>
      <c r="G28">
        <f>_xlfn.XMATCH("keyboard",Table5[Product],0,-1)</f>
        <v>11</v>
      </c>
    </row>
    <row r="29" spans="1:8" x14ac:dyDescent="0.3">
      <c r="A29">
        <v>43388</v>
      </c>
      <c r="F29" t="s">
        <v>116</v>
      </c>
      <c r="G29">
        <f ca="1">SUM((INDIRECT(H29)))</f>
        <v>6006</v>
      </c>
      <c r="H29" t="s">
        <v>118</v>
      </c>
    </row>
    <row r="30" spans="1:8" x14ac:dyDescent="0.3">
      <c r="A30">
        <v>19757</v>
      </c>
      <c r="F30" t="s">
        <v>119</v>
      </c>
      <c r="G30" cm="1">
        <f t="array" aca="1" ref="G30:G49" ca="1">OFFSET(E2,0,0,COUNTA(E:E)-1,1)</f>
        <v>7048</v>
      </c>
    </row>
    <row r="31" spans="1:8" x14ac:dyDescent="0.3">
      <c r="A31">
        <v>32058</v>
      </c>
      <c r="G31">
        <f ca="1"/>
        <v>17428</v>
      </c>
    </row>
    <row r="32" spans="1:8" x14ac:dyDescent="0.3">
      <c r="A32">
        <v>46429</v>
      </c>
      <c r="G32">
        <f ca="1"/>
        <v>23672</v>
      </c>
    </row>
    <row r="33" spans="1:7" x14ac:dyDescent="0.3">
      <c r="A33">
        <v>19746</v>
      </c>
      <c r="G33">
        <f ca="1"/>
        <v>5264</v>
      </c>
    </row>
    <row r="34" spans="1:7" x14ac:dyDescent="0.3">
      <c r="A34">
        <v>35185</v>
      </c>
      <c r="G34">
        <f ca="1"/>
        <v>43388</v>
      </c>
    </row>
    <row r="35" spans="1:7" x14ac:dyDescent="0.3">
      <c r="A35">
        <v>33920</v>
      </c>
      <c r="G35">
        <f ca="1"/>
        <v>19757</v>
      </c>
    </row>
    <row r="36" spans="1:7" x14ac:dyDescent="0.3">
      <c r="A36">
        <v>35611</v>
      </c>
      <c r="G36">
        <f ca="1"/>
        <v>32058</v>
      </c>
    </row>
    <row r="37" spans="1:7" x14ac:dyDescent="0.3">
      <c r="A37">
        <v>15560</v>
      </c>
      <c r="G37">
        <f ca="1"/>
        <v>46429</v>
      </c>
    </row>
    <row r="38" spans="1:7" x14ac:dyDescent="0.3">
      <c r="A38">
        <v>7283</v>
      </c>
      <c r="G38">
        <f ca="1"/>
        <v>19746</v>
      </c>
    </row>
    <row r="39" spans="1:7" x14ac:dyDescent="0.3">
      <c r="A39">
        <v>15678</v>
      </c>
      <c r="G39">
        <f ca="1"/>
        <v>35185</v>
      </c>
    </row>
    <row r="40" spans="1:7" x14ac:dyDescent="0.3">
      <c r="A40">
        <v>5277</v>
      </c>
      <c r="G40">
        <f ca="1"/>
        <v>33920</v>
      </c>
    </row>
    <row r="41" spans="1:7" x14ac:dyDescent="0.3">
      <c r="A41">
        <v>41871</v>
      </c>
      <c r="G41">
        <f ca="1"/>
        <v>35611</v>
      </c>
    </row>
    <row r="42" spans="1:7" x14ac:dyDescent="0.3">
      <c r="A42">
        <v>38161</v>
      </c>
      <c r="G42">
        <f ca="1"/>
        <v>15560</v>
      </c>
    </row>
    <row r="43" spans="1:7" x14ac:dyDescent="0.3">
      <c r="A43">
        <v>30436</v>
      </c>
      <c r="G43">
        <f ca="1"/>
        <v>7283</v>
      </c>
    </row>
    <row r="44" spans="1:7" x14ac:dyDescent="0.3">
      <c r="A44">
        <v>33953</v>
      </c>
      <c r="G44">
        <f ca="1"/>
        <v>15678</v>
      </c>
    </row>
    <row r="45" spans="1:7" x14ac:dyDescent="0.3">
      <c r="G45">
        <f ca="1"/>
        <v>5277</v>
      </c>
    </row>
    <row r="46" spans="1:7" x14ac:dyDescent="0.3">
      <c r="G46">
        <f ca="1"/>
        <v>41871</v>
      </c>
    </row>
    <row r="47" spans="1:7" x14ac:dyDescent="0.3">
      <c r="G47">
        <f ca="1"/>
        <v>38161</v>
      </c>
    </row>
    <row r="48" spans="1:7" x14ac:dyDescent="0.3">
      <c r="G48">
        <f ca="1"/>
        <v>30436</v>
      </c>
    </row>
    <row r="49" spans="7:7" x14ac:dyDescent="0.3">
      <c r="G49">
        <f ca="1"/>
        <v>33953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69A291-B5B2-47A0-91CC-FF5925795B26}">
  <dimension ref="A1:H50"/>
  <sheetViews>
    <sheetView zoomScale="83" workbookViewId="0">
      <selection activeCell="H3" sqref="H3"/>
    </sheetView>
  </sheetViews>
  <sheetFormatPr defaultRowHeight="14.4" x14ac:dyDescent="0.3"/>
  <cols>
    <col min="1" max="1" width="16.33203125" customWidth="1"/>
    <col min="2" max="2" width="12.77734375" customWidth="1"/>
    <col min="3" max="3" width="19.6640625" customWidth="1"/>
    <col min="4" max="4" width="12.88671875" customWidth="1"/>
    <col min="5" max="5" width="16.88671875" customWidth="1"/>
    <col min="7" max="7" width="13.77734375" customWidth="1"/>
    <col min="8" max="8" width="13.109375" customWidth="1"/>
  </cols>
  <sheetData>
    <row r="1" spans="1:8" x14ac:dyDescent="0.3">
      <c r="A1" t="s">
        <v>64</v>
      </c>
      <c r="B1" t="s">
        <v>1</v>
      </c>
      <c r="C1" t="s">
        <v>65</v>
      </c>
      <c r="D1" t="s">
        <v>66</v>
      </c>
      <c r="E1" t="s">
        <v>67</v>
      </c>
      <c r="G1" t="s">
        <v>92</v>
      </c>
    </row>
    <row r="2" spans="1:8" x14ac:dyDescent="0.3">
      <c r="A2">
        <v>3001</v>
      </c>
      <c r="B2" t="s">
        <v>68</v>
      </c>
      <c r="C2" t="s">
        <v>69</v>
      </c>
      <c r="D2">
        <v>86766</v>
      </c>
      <c r="E2" s="2">
        <v>42005</v>
      </c>
      <c r="G2" cm="1">
        <f t="array" ref="G2:G21">_xlfn.XLOOKUP(Table6[Employee ID],Table6[Employee ID],Table6[Salary],"notfound")</f>
        <v>86766</v>
      </c>
      <c r="H2">
        <f>_xlfn.XLOOKUP(3001,Table6[Employee ID],Table6[Salary],"no salary",0,1)</f>
        <v>86766</v>
      </c>
    </row>
    <row r="3" spans="1:8" x14ac:dyDescent="0.3">
      <c r="A3">
        <v>3002</v>
      </c>
      <c r="B3" t="s">
        <v>70</v>
      </c>
      <c r="C3" t="s">
        <v>69</v>
      </c>
      <c r="D3">
        <v>31943</v>
      </c>
      <c r="E3" s="2">
        <v>42255</v>
      </c>
      <c r="G3">
        <v>31943</v>
      </c>
    </row>
    <row r="4" spans="1:8" x14ac:dyDescent="0.3">
      <c r="A4">
        <v>3003</v>
      </c>
      <c r="B4" t="s">
        <v>71</v>
      </c>
      <c r="C4" t="s">
        <v>72</v>
      </c>
      <c r="D4">
        <v>63374</v>
      </c>
      <c r="E4" s="2">
        <v>42505</v>
      </c>
      <c r="G4">
        <v>63374</v>
      </c>
    </row>
    <row r="5" spans="1:8" x14ac:dyDescent="0.3">
      <c r="A5">
        <v>3004</v>
      </c>
      <c r="B5" t="s">
        <v>73</v>
      </c>
      <c r="C5" t="s">
        <v>69</v>
      </c>
      <c r="D5">
        <v>109972</v>
      </c>
      <c r="E5" s="2">
        <v>42755</v>
      </c>
      <c r="G5">
        <v>109972</v>
      </c>
    </row>
    <row r="6" spans="1:8" x14ac:dyDescent="0.3">
      <c r="A6">
        <v>3005</v>
      </c>
      <c r="B6" t="s">
        <v>74</v>
      </c>
      <c r="C6" t="s">
        <v>75</v>
      </c>
      <c r="D6">
        <v>54149</v>
      </c>
      <c r="E6" s="2">
        <v>43005</v>
      </c>
      <c r="G6">
        <v>54149</v>
      </c>
    </row>
    <row r="7" spans="1:8" x14ac:dyDescent="0.3">
      <c r="A7">
        <v>3006</v>
      </c>
      <c r="B7" t="s">
        <v>76</v>
      </c>
      <c r="C7" t="s">
        <v>75</v>
      </c>
      <c r="D7">
        <v>78689</v>
      </c>
      <c r="E7" s="2">
        <v>43255</v>
      </c>
      <c r="G7">
        <v>78689</v>
      </c>
    </row>
    <row r="8" spans="1:8" x14ac:dyDescent="0.3">
      <c r="A8">
        <v>3007</v>
      </c>
      <c r="B8" t="s">
        <v>77</v>
      </c>
      <c r="C8" t="s">
        <v>78</v>
      </c>
      <c r="D8">
        <v>35960</v>
      </c>
      <c r="E8" s="2">
        <v>43505</v>
      </c>
      <c r="G8">
        <v>35960</v>
      </c>
    </row>
    <row r="9" spans="1:8" x14ac:dyDescent="0.3">
      <c r="A9">
        <v>3008</v>
      </c>
      <c r="B9" t="s">
        <v>79</v>
      </c>
      <c r="C9" t="s">
        <v>75</v>
      </c>
      <c r="D9">
        <v>91659</v>
      </c>
      <c r="E9" s="2">
        <v>43755</v>
      </c>
      <c r="G9">
        <v>91659</v>
      </c>
    </row>
    <row r="10" spans="1:8" x14ac:dyDescent="0.3">
      <c r="A10">
        <v>3009</v>
      </c>
      <c r="B10" t="s">
        <v>80</v>
      </c>
      <c r="C10" t="s">
        <v>75</v>
      </c>
      <c r="D10">
        <v>90423</v>
      </c>
      <c r="E10" s="2">
        <v>44005</v>
      </c>
      <c r="G10">
        <v>90423</v>
      </c>
    </row>
    <row r="11" spans="1:8" x14ac:dyDescent="0.3">
      <c r="A11">
        <v>3010</v>
      </c>
      <c r="B11" t="s">
        <v>81</v>
      </c>
      <c r="C11" t="s">
        <v>72</v>
      </c>
      <c r="D11">
        <v>107877</v>
      </c>
      <c r="E11" s="2">
        <v>44255</v>
      </c>
      <c r="G11">
        <v>107877</v>
      </c>
    </row>
    <row r="12" spans="1:8" x14ac:dyDescent="0.3">
      <c r="A12">
        <v>3011</v>
      </c>
      <c r="B12" t="s">
        <v>82</v>
      </c>
      <c r="C12" t="s">
        <v>69</v>
      </c>
      <c r="D12">
        <v>107634</v>
      </c>
      <c r="E12" s="2">
        <v>44505</v>
      </c>
      <c r="G12">
        <v>107634</v>
      </c>
    </row>
    <row r="13" spans="1:8" x14ac:dyDescent="0.3">
      <c r="A13">
        <v>3012</v>
      </c>
      <c r="B13" t="s">
        <v>83</v>
      </c>
      <c r="C13" t="s">
        <v>69</v>
      </c>
      <c r="D13">
        <v>35226</v>
      </c>
      <c r="E13" s="2">
        <v>44755</v>
      </c>
      <c r="G13">
        <v>35226</v>
      </c>
    </row>
    <row r="14" spans="1:8" x14ac:dyDescent="0.3">
      <c r="A14">
        <v>3013</v>
      </c>
      <c r="B14" t="s">
        <v>84</v>
      </c>
      <c r="C14" t="s">
        <v>72</v>
      </c>
      <c r="D14">
        <v>40872</v>
      </c>
      <c r="E14" s="2">
        <v>45005</v>
      </c>
      <c r="G14">
        <v>40872</v>
      </c>
    </row>
    <row r="15" spans="1:8" x14ac:dyDescent="0.3">
      <c r="A15">
        <v>3014</v>
      </c>
      <c r="B15" t="s">
        <v>85</v>
      </c>
      <c r="C15" t="s">
        <v>72</v>
      </c>
      <c r="D15">
        <v>55378</v>
      </c>
      <c r="E15" s="2">
        <v>45255</v>
      </c>
      <c r="G15">
        <v>55378</v>
      </c>
    </row>
    <row r="16" spans="1:8" x14ac:dyDescent="0.3">
      <c r="A16">
        <v>3015</v>
      </c>
      <c r="B16" t="s">
        <v>86</v>
      </c>
      <c r="C16" t="s">
        <v>72</v>
      </c>
      <c r="D16">
        <v>63297</v>
      </c>
      <c r="E16" s="2">
        <v>45505</v>
      </c>
      <c r="G16">
        <v>63297</v>
      </c>
    </row>
    <row r="17" spans="1:8" x14ac:dyDescent="0.3">
      <c r="A17">
        <v>3016</v>
      </c>
      <c r="B17" t="s">
        <v>87</v>
      </c>
      <c r="C17" t="s">
        <v>69</v>
      </c>
      <c r="D17">
        <v>114173</v>
      </c>
      <c r="E17" s="2">
        <v>45755</v>
      </c>
      <c r="G17">
        <v>114173</v>
      </c>
    </row>
    <row r="18" spans="1:8" x14ac:dyDescent="0.3">
      <c r="A18">
        <v>3017</v>
      </c>
      <c r="B18" t="s">
        <v>88</v>
      </c>
      <c r="C18" t="s">
        <v>72</v>
      </c>
      <c r="D18">
        <v>86915</v>
      </c>
      <c r="E18" s="2">
        <v>46005</v>
      </c>
      <c r="G18">
        <v>86915</v>
      </c>
    </row>
    <row r="19" spans="1:8" x14ac:dyDescent="0.3">
      <c r="A19">
        <v>3018</v>
      </c>
      <c r="B19" t="s">
        <v>89</v>
      </c>
      <c r="C19" t="s">
        <v>75</v>
      </c>
      <c r="D19">
        <v>116284</v>
      </c>
      <c r="E19" s="2">
        <v>46255</v>
      </c>
      <c r="G19">
        <v>116284</v>
      </c>
    </row>
    <row r="20" spans="1:8" x14ac:dyDescent="0.3">
      <c r="A20">
        <v>3019</v>
      </c>
      <c r="B20" t="s">
        <v>90</v>
      </c>
      <c r="C20" t="s">
        <v>78</v>
      </c>
      <c r="D20">
        <v>116283</v>
      </c>
      <c r="E20" s="2">
        <v>46505</v>
      </c>
      <c r="G20">
        <v>116283</v>
      </c>
    </row>
    <row r="21" spans="1:8" x14ac:dyDescent="0.3">
      <c r="A21">
        <v>3020</v>
      </c>
      <c r="B21" t="s">
        <v>91</v>
      </c>
      <c r="C21" t="s">
        <v>78</v>
      </c>
      <c r="D21">
        <v>99924</v>
      </c>
      <c r="E21" s="2">
        <v>46755</v>
      </c>
      <c r="G21">
        <v>99924</v>
      </c>
    </row>
    <row r="25" spans="1:8" x14ac:dyDescent="0.3">
      <c r="A25" t="s">
        <v>93</v>
      </c>
      <c r="C25" t="s">
        <v>94</v>
      </c>
      <c r="E25" t="s">
        <v>95</v>
      </c>
      <c r="G25" t="s">
        <v>113</v>
      </c>
      <c r="H25" t="str">
        <f>INDEX(Table6[Name],MATCH(3004,Table6[Employee ID],0))</f>
        <v>Employee 4</v>
      </c>
    </row>
    <row r="26" spans="1:8" x14ac:dyDescent="0.3">
      <c r="A26" cm="1">
        <f t="array" ref="A26:A45">YEAR(Table6[Joining Date])</f>
        <v>2015</v>
      </c>
      <c r="C26" cm="1">
        <f t="array" ref="C26:C45">MONTH(Table6[Joining Date])</f>
        <v>1</v>
      </c>
      <c r="E26" cm="1">
        <f t="array" aca="1" ref="E26:E45" ca="1">DATEDIF(Table6[Joining Date],TODAY(),"Y")</f>
        <v>11</v>
      </c>
      <c r="H26" t="str">
        <f>INDEX(Table6[Department],MATCH(3004,Table6[Employee ID],0))</f>
        <v>Finance</v>
      </c>
    </row>
    <row r="27" spans="1:8" x14ac:dyDescent="0.3">
      <c r="A27">
        <v>2015</v>
      </c>
      <c r="C27">
        <v>9</v>
      </c>
      <c r="E27">
        <f ca="1"/>
        <v>10</v>
      </c>
      <c r="H27">
        <f>INDEX(Table6[Salary],MATCH(3004,Table6[Employee ID],0))</f>
        <v>109972</v>
      </c>
    </row>
    <row r="28" spans="1:8" x14ac:dyDescent="0.3">
      <c r="A28">
        <v>2016</v>
      </c>
      <c r="C28">
        <v>5</v>
      </c>
      <c r="E28">
        <f ca="1"/>
        <v>10</v>
      </c>
    </row>
    <row r="29" spans="1:8" x14ac:dyDescent="0.3">
      <c r="A29">
        <v>2017</v>
      </c>
      <c r="C29">
        <v>1</v>
      </c>
      <c r="E29">
        <f ca="1"/>
        <v>9</v>
      </c>
      <c r="G29" t="s">
        <v>114</v>
      </c>
      <c r="H29" t="str">
        <f>LEFT(B2,FIND(" ",B2))</f>
        <v xml:space="preserve">Employee </v>
      </c>
    </row>
    <row r="30" spans="1:8" x14ac:dyDescent="0.3">
      <c r="A30">
        <v>2017</v>
      </c>
      <c r="C30">
        <v>9</v>
      </c>
      <c r="E30">
        <f ca="1"/>
        <v>8</v>
      </c>
      <c r="G30" t="s">
        <v>115</v>
      </c>
    </row>
    <row r="31" spans="1:8" x14ac:dyDescent="0.3">
      <c r="A31">
        <v>2018</v>
      </c>
      <c r="C31">
        <v>6</v>
      </c>
      <c r="E31">
        <f ca="1"/>
        <v>8</v>
      </c>
      <c r="G31" t="str" cm="1">
        <f t="array" ref="G31:G50">UPPER(Table6[Name])</f>
        <v>EMPLOYEE 1</v>
      </c>
    </row>
    <row r="32" spans="1:8" x14ac:dyDescent="0.3">
      <c r="A32">
        <v>2019</v>
      </c>
      <c r="C32">
        <v>2</v>
      </c>
      <c r="E32">
        <f ca="1"/>
        <v>7</v>
      </c>
      <c r="G32" t="str">
        <v>EMPLOYEE 2</v>
      </c>
    </row>
    <row r="33" spans="1:7" x14ac:dyDescent="0.3">
      <c r="A33">
        <v>2019</v>
      </c>
      <c r="C33">
        <v>10</v>
      </c>
      <c r="E33">
        <f ca="1"/>
        <v>6</v>
      </c>
      <c r="G33" t="str">
        <v>EMPLOYEE 3</v>
      </c>
    </row>
    <row r="34" spans="1:7" x14ac:dyDescent="0.3">
      <c r="A34">
        <v>2020</v>
      </c>
      <c r="C34">
        <v>6</v>
      </c>
      <c r="E34">
        <f ca="1"/>
        <v>6</v>
      </c>
      <c r="G34" t="str">
        <v>EMPLOYEE 4</v>
      </c>
    </row>
    <row r="35" spans="1:7" x14ac:dyDescent="0.3">
      <c r="A35">
        <v>2021</v>
      </c>
      <c r="C35">
        <v>2</v>
      </c>
      <c r="E35">
        <f ca="1"/>
        <v>5</v>
      </c>
      <c r="G35" t="str">
        <v>EMPLOYEE 5</v>
      </c>
    </row>
    <row r="36" spans="1:7" x14ac:dyDescent="0.3">
      <c r="A36">
        <v>2021</v>
      </c>
      <c r="C36">
        <v>11</v>
      </c>
      <c r="E36">
        <f ca="1"/>
        <v>4</v>
      </c>
      <c r="G36" t="str">
        <v>EMPLOYEE 6</v>
      </c>
    </row>
    <row r="37" spans="1:7" x14ac:dyDescent="0.3">
      <c r="A37">
        <v>2022</v>
      </c>
      <c r="C37">
        <v>7</v>
      </c>
      <c r="E37">
        <f ca="1"/>
        <v>4</v>
      </c>
      <c r="G37" t="str">
        <v>EMPLOYEE 7</v>
      </c>
    </row>
    <row r="38" spans="1:7" x14ac:dyDescent="0.3">
      <c r="A38">
        <v>2023</v>
      </c>
      <c r="C38">
        <v>3</v>
      </c>
      <c r="E38">
        <f ca="1"/>
        <v>3</v>
      </c>
      <c r="G38" t="str">
        <v>EMPLOYEE 8</v>
      </c>
    </row>
    <row r="39" spans="1:7" x14ac:dyDescent="0.3">
      <c r="A39">
        <v>2023</v>
      </c>
      <c r="C39">
        <v>11</v>
      </c>
      <c r="E39">
        <f ca="1"/>
        <v>2</v>
      </c>
      <c r="G39" t="str">
        <v>EMPLOYEE 9</v>
      </c>
    </row>
    <row r="40" spans="1:7" x14ac:dyDescent="0.3">
      <c r="A40">
        <v>2024</v>
      </c>
      <c r="C40">
        <v>8</v>
      </c>
      <c r="E40">
        <f ca="1"/>
        <v>1</v>
      </c>
      <c r="G40" t="str">
        <v>EMPLOYEE 10</v>
      </c>
    </row>
    <row r="41" spans="1:7" x14ac:dyDescent="0.3">
      <c r="A41">
        <v>2025</v>
      </c>
      <c r="C41">
        <v>4</v>
      </c>
      <c r="E41">
        <f ca="1"/>
        <v>1</v>
      </c>
      <c r="G41" t="str">
        <v>EMPLOYEE 11</v>
      </c>
    </row>
    <row r="42" spans="1:7" x14ac:dyDescent="0.3">
      <c r="A42">
        <v>2025</v>
      </c>
      <c r="C42">
        <v>12</v>
      </c>
      <c r="E42">
        <f ca="1"/>
        <v>0</v>
      </c>
      <c r="G42" t="str">
        <v>EMPLOYEE 12</v>
      </c>
    </row>
    <row r="43" spans="1:7" x14ac:dyDescent="0.3">
      <c r="A43">
        <v>2026</v>
      </c>
      <c r="C43">
        <v>8</v>
      </c>
      <c r="E43" t="e">
        <f ca="1"/>
        <v>#NUM!</v>
      </c>
      <c r="G43" t="str">
        <v>EMPLOYEE 13</v>
      </c>
    </row>
    <row r="44" spans="1:7" x14ac:dyDescent="0.3">
      <c r="A44">
        <v>2027</v>
      </c>
      <c r="C44">
        <v>4</v>
      </c>
      <c r="E44" t="e">
        <f ca="1"/>
        <v>#NUM!</v>
      </c>
      <c r="G44" t="str">
        <v>EMPLOYEE 14</v>
      </c>
    </row>
    <row r="45" spans="1:7" x14ac:dyDescent="0.3">
      <c r="A45">
        <v>2028</v>
      </c>
      <c r="C45">
        <v>1</v>
      </c>
      <c r="E45" t="e">
        <f ca="1"/>
        <v>#NUM!</v>
      </c>
      <c r="G45" t="str">
        <v>EMPLOYEE 15</v>
      </c>
    </row>
    <row r="46" spans="1:7" x14ac:dyDescent="0.3">
      <c r="G46" t="str">
        <v>EMPLOYEE 16</v>
      </c>
    </row>
    <row r="47" spans="1:7" x14ac:dyDescent="0.3">
      <c r="G47" t="str">
        <v>EMPLOYEE 17</v>
      </c>
    </row>
    <row r="48" spans="1:7" x14ac:dyDescent="0.3">
      <c r="G48" t="str">
        <v>EMPLOYEE 18</v>
      </c>
    </row>
    <row r="49" spans="7:7" x14ac:dyDescent="0.3">
      <c r="G49" t="str">
        <v>EMPLOYEE 19</v>
      </c>
    </row>
    <row r="50" spans="7:7" x14ac:dyDescent="0.3">
      <c r="G50" t="str">
        <v>EMPLOYEE 20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STUDENT</vt:lpstr>
      <vt:lpstr>SALES</vt:lpstr>
      <vt:lpstr>EMPLOYEE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24BCP130KenilS</dc:creator>
  <cp:lastModifiedBy>24BCP130KenilS</cp:lastModifiedBy>
  <dcterms:created xsi:type="dcterms:W3CDTF">2026-06-12T10:14:09Z</dcterms:created>
  <dcterms:modified xsi:type="dcterms:W3CDTF">2026-07-25T05:50:15Z</dcterms:modified>
</cp:coreProperties>
</file>